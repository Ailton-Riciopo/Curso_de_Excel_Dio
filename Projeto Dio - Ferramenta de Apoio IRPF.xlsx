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Docs em PDF\Cursos\Excel\"/>
    </mc:Choice>
  </mc:AlternateContent>
  <xr:revisionPtr revIDLastSave="0" documentId="13_ncr:1_{D21C4960-E319-4574-8771-FD8C5ED9B597}" xr6:coauthVersionLast="47" xr6:coauthVersionMax="47" xr10:uidLastSave="{00000000-0000-0000-0000-000000000000}"/>
  <bookViews>
    <workbookView xWindow="-120" yWindow="-120" windowWidth="20730" windowHeight="11040" tabRatio="865" xr2:uid="{F976A4FA-CC56-48E6-810F-BA714CDC70AE}"/>
  </bookViews>
  <sheets>
    <sheet name="Dados Contribuinte" sheetId="1" r:id="rId1"/>
    <sheet name="Recebimento PJ" sheetId="2" r:id="rId2"/>
    <sheet name="Recebimento PF" sheetId="3" r:id="rId3"/>
    <sheet name="Saldos bancarios" sheetId="5" r:id="rId4"/>
    <sheet name="Despesas" sheetId="4" r:id="rId5"/>
    <sheet name="Tab_Bancos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3" l="1"/>
  <c r="F28" i="3"/>
  <c r="G28" i="3"/>
  <c r="H28" i="3"/>
  <c r="I28" i="3"/>
  <c r="J28" i="3"/>
  <c r="K28" i="3"/>
  <c r="L28" i="3"/>
  <c r="M28" i="3"/>
  <c r="N28" i="3"/>
  <c r="O28" i="3"/>
  <c r="P28" i="3"/>
  <c r="E28" i="3"/>
  <c r="Q27" i="3"/>
  <c r="Q26" i="3"/>
  <c r="Q25" i="3"/>
  <c r="Q24" i="3"/>
  <c r="Q23" i="3"/>
  <c r="Q22" i="3"/>
  <c r="Q21" i="3"/>
  <c r="Q20" i="3"/>
  <c r="Q19" i="3"/>
  <c r="Q28" i="3" s="1"/>
  <c r="Q18" i="3"/>
  <c r="Q17" i="3"/>
  <c r="Q16" i="3"/>
  <c r="Q14" i="3"/>
  <c r="Q15" i="3"/>
  <c r="G10" i="2"/>
  <c r="G8" i="2"/>
  <c r="G8" i="5"/>
  <c r="O10" i="4"/>
  <c r="G10" i="4"/>
  <c r="O9" i="4"/>
  <c r="O8" i="4"/>
  <c r="G9" i="4"/>
  <c r="G8" i="4"/>
  <c r="G10" i="5"/>
</calcChain>
</file>

<file path=xl/sharedStrings.xml><?xml version="1.0" encoding="utf-8"?>
<sst xmlns="http://schemas.openxmlformats.org/spreadsheetml/2006/main" count="123" uniqueCount="117">
  <si>
    <t>1 - Informações do contribuinte</t>
  </si>
  <si>
    <t>Nome:</t>
  </si>
  <si>
    <t>CPF:</t>
  </si>
  <si>
    <t>Data de Nascimento:</t>
  </si>
  <si>
    <t>Endereço:</t>
  </si>
  <si>
    <t>Telefone Fixo:</t>
  </si>
  <si>
    <t>E-mail:</t>
  </si>
  <si>
    <t>Celular:</t>
  </si>
  <si>
    <t>Alterações de cadastro?:</t>
  </si>
  <si>
    <t>CEP:</t>
  </si>
  <si>
    <t>Cônjuge:</t>
  </si>
  <si>
    <t>CPF Cônjuge:</t>
  </si>
  <si>
    <t>Rua das Flores, 47</t>
  </si>
  <si>
    <t>Maria da Silva</t>
  </si>
  <si>
    <t>Não</t>
  </si>
  <si>
    <t>2 - Recebimentos de Pessoas Jurídicas</t>
  </si>
  <si>
    <t>4 - Saldo Bancário</t>
  </si>
  <si>
    <t>5 - Despesas Médicas Dedutíveis</t>
  </si>
  <si>
    <t>Banco</t>
  </si>
  <si>
    <t>Agência</t>
  </si>
  <si>
    <t>Conta</t>
  </si>
  <si>
    <t>Saldo Inicial</t>
  </si>
  <si>
    <t>Saldo Final</t>
  </si>
  <si>
    <r>
      <t xml:space="preserve">Informe de Rendimentos </t>
    </r>
    <r>
      <rPr>
        <sz val="10"/>
        <color theme="0"/>
        <rFont val="Webdings"/>
        <family val="1"/>
        <charset val="2"/>
      </rPr>
      <t>'</t>
    </r>
  </si>
  <si>
    <t>Saldo Total no Início do Ano:</t>
  </si>
  <si>
    <t>Saldo Total no Final do Ano:</t>
  </si>
  <si>
    <t>bancos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</si>
  <si>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</si>
  <si>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</si>
  <si>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</si>
  <si>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</si>
  <si>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</si>
  <si>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</si>
  <si>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</si>
  <si>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</si>
  <si>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</si>
  <si>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</si>
  <si>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241 - Banco Clássico</t>
  </si>
  <si>
    <t>250 - Banco de Crédito e Varejo (BCV)</t>
  </si>
  <si>
    <t>260 - Nubank</t>
  </si>
  <si>
    <t>290 - PagBank</t>
  </si>
  <si>
    <t>336 - C6 Bank</t>
  </si>
  <si>
    <t>341 - Itaú Unibanco</t>
  </si>
  <si>
    <t>376 - Banco JPMorgan S.A.</t>
  </si>
  <si>
    <t>380 - PicPay</t>
  </si>
  <si>
    <t>422 - Banco Safra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</si>
  <si>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</si>
  <si>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</si>
  <si>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</si>
  <si>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</si>
  <si>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</si>
  <si>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634 - Banco Triângulo</t>
  </si>
  <si>
    <t>654 - Banco AJ Renner</t>
  </si>
  <si>
    <t>655 - Banco Votorantim</t>
  </si>
  <si>
    <t>707 - Banco Daycoval</t>
  </si>
  <si>
    <t>734 - Banco Gerdau</t>
  </si>
  <si>
    <t>735 - Banco Neon</t>
  </si>
  <si>
    <t>746 - Banco Modal</t>
  </si>
  <si>
    <t>748 - Banco Cooperativo Sicredi S.A.</t>
  </si>
  <si>
    <t>749 - Banco Simples</t>
  </si>
  <si>
    <t>001 - Banco do Brasil</t>
  </si>
  <si>
    <t>024 - Banco de Pernambuco</t>
  </si>
  <si>
    <t>029 - Banco do Estado do Rio de Janeiro</t>
  </si>
  <si>
    <t>003 - Banco da Amazônia</t>
  </si>
  <si>
    <t>033 - Banco Santander</t>
  </si>
  <si>
    <t>037 - Banco do Estado do Pará</t>
  </si>
  <si>
    <t>004 - Banco do Nordeste do Brasil</t>
  </si>
  <si>
    <t>041 - Banco do Estado do Rio Grande do Sul</t>
  </si>
  <si>
    <t>044 - Banco BVA</t>
  </si>
  <si>
    <t>062 - Hipercard Banco Múltiplo</t>
  </si>
  <si>
    <t>065 - Banco Lemon</t>
  </si>
  <si>
    <t>066 - Banco Morgan Stanley</t>
  </si>
  <si>
    <t>072 - Banco Rural Mais</t>
  </si>
  <si>
    <t>074 - Banco J. Safra</t>
  </si>
  <si>
    <t>077 - Banco Inter</t>
  </si>
  <si>
    <t>079 - Banco JBS</t>
  </si>
  <si>
    <t>082 - Banco Topázio</t>
  </si>
  <si>
    <t>informe_Rendimentos_ItauBBA.PDF</t>
  </si>
  <si>
    <t>Nome do Prestador</t>
  </si>
  <si>
    <t>PF/PJ</t>
  </si>
  <si>
    <t>CPF ou CNPJ</t>
  </si>
  <si>
    <t>Valor Pago</t>
  </si>
  <si>
    <t>Valor Dedutível</t>
  </si>
  <si>
    <t>Nota_Fiscal_234895.PDF</t>
  </si>
  <si>
    <t>PF</t>
  </si>
  <si>
    <t>PJ</t>
  </si>
  <si>
    <t>Hospital Israelita Albert Einstein</t>
  </si>
  <si>
    <t>Dr. Frankestein</t>
  </si>
  <si>
    <t>Recibo_666999.PDF</t>
  </si>
  <si>
    <t>Total Pago - Pessoa Jurídica:</t>
  </si>
  <si>
    <t>Total Pago - Pessoa Física:</t>
  </si>
  <si>
    <t>Total Dedutível - Pessoa Física:</t>
  </si>
  <si>
    <t>Total Dedutível - Pessoa Jurídica:</t>
  </si>
  <si>
    <t>Dr. Xibungo</t>
  </si>
  <si>
    <t>Informe de Rendimentos '</t>
  </si>
  <si>
    <t xml:space="preserve">Nome da Fonte Pagadora </t>
  </si>
  <si>
    <t>CNPJ</t>
  </si>
  <si>
    <t>Notas Fiscais / Comprovantes</t>
  </si>
  <si>
    <t>Valor Recebido</t>
  </si>
  <si>
    <t>Imposto Retido</t>
  </si>
  <si>
    <t>M &amp; A Associados - Consultoria em Informática</t>
  </si>
  <si>
    <t>Inf_MeA.PDF</t>
  </si>
  <si>
    <t>Total Pago - PF e PJ:</t>
  </si>
  <si>
    <t>Total Dedutível - PF e PJ:</t>
  </si>
  <si>
    <t>Total de Valores Recebidos:</t>
  </si>
  <si>
    <t>Total de Imposto Retido:</t>
  </si>
  <si>
    <t>Banco Santander Brasil</t>
  </si>
  <si>
    <t>Inf_Santander.PDF</t>
  </si>
  <si>
    <t>Manoel da Silva</t>
  </si>
  <si>
    <t>mane_silva@hotmail.com</t>
  </si>
  <si>
    <t>3 - Recebimentos de Pessoas Físicas (alugueis)</t>
  </si>
  <si>
    <t>Total</t>
  </si>
  <si>
    <t>CPF Pagador</t>
  </si>
  <si>
    <t xml:space="preserve">Valores Líquidos em R$ Recebidos Mensalmente </t>
  </si>
  <si>
    <t>Total Mensal</t>
  </si>
  <si>
    <t>extrato_anual_ItauBBA.PDF</t>
  </si>
  <si>
    <t>extrato_anual_Santander.PDF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</si>
</sst>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+55 &quot;00&quot; &quot;0000&quot;-&quot;0000"/>
    <numFmt numFmtId="167" formatCode="&quot;+55 &quot;00&quot; &quot;00000&quot;-&quot;0000"/>
    <numFmt numFmtId="168" formatCode="_-[$R$-416]\ * #,##0.00_-;\-[$R$-416]\ * #,##0.00_-;_-[$R$-416]\ * &quot;-&quot;??_-;_-@_-"/>
    <numFmt numFmtId="169" formatCode="0000"/>
    <numFmt numFmtId="170" formatCode="00000&quot;-&quot;0"/>
    <numFmt numFmtId="171" formatCode="00&quot;.&quot;000&quot;.&quot;000&quot;/&quot;0000&quot;-&quot;00"/>
    <numFmt numFmtId="172" formatCode="mmm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Black"/>
      <family val="2"/>
    </font>
    <font>
      <sz val="11"/>
      <color theme="0"/>
      <name val="Arial Black"/>
      <family val="2"/>
    </font>
    <font>
      <sz val="10"/>
      <color theme="0"/>
      <name val="Arial Black"/>
      <family val="2"/>
    </font>
    <font>
      <u/>
      <sz val="14"/>
      <color theme="0"/>
      <name val="Arial Black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Arial Black"/>
      <family val="2"/>
    </font>
    <font>
      <sz val="10"/>
      <color theme="0"/>
      <name val="Webdings"/>
      <family val="1"/>
      <charset val="2"/>
    </font>
    <font>
      <sz val="9"/>
      <color theme="1"/>
      <name val="Arial Narrow"/>
      <family val="2"/>
    </font>
    <font>
      <sz val="9"/>
      <color theme="1"/>
      <name val="Arial"/>
      <family val="2"/>
    </font>
    <font>
      <b/>
      <sz val="9"/>
      <color theme="0"/>
      <name val="Arial Narrow"/>
      <family val="2"/>
    </font>
    <font>
      <b/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8483B"/>
        <bgColor indexed="64"/>
      </patternFill>
    </fill>
    <fill>
      <patternFill patternType="solid">
        <fgColor rgb="FF226453"/>
        <bgColor indexed="64"/>
      </patternFill>
    </fill>
    <fill>
      <patternFill patternType="solid">
        <fgColor rgb="FF2A7A65"/>
        <bgColor indexed="64"/>
      </patternFill>
    </fill>
    <fill>
      <patternFill patternType="solid">
        <fgColor rgb="FF318F76"/>
        <bgColor indexed="64"/>
      </patternFill>
    </fill>
    <fill>
      <patternFill patternType="solid">
        <fgColor rgb="FF3AA88B"/>
        <bgColor indexed="64"/>
      </patternFill>
    </fill>
    <fill>
      <patternFill patternType="solid">
        <fgColor rgb="FF2B7D68"/>
        <bgColor indexed="64"/>
      </patternFill>
    </fill>
  </fills>
  <borders count="54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rgb="FF318F76"/>
      </right>
      <top style="medium">
        <color theme="0"/>
      </top>
      <bottom style="thin">
        <color rgb="FF318F76"/>
      </bottom>
      <diagonal/>
    </border>
    <border>
      <left style="thin">
        <color rgb="FF318F76"/>
      </left>
      <right style="thin">
        <color rgb="FF318F76"/>
      </right>
      <top style="medium">
        <color theme="0"/>
      </top>
      <bottom style="thin">
        <color rgb="FF318F76"/>
      </bottom>
      <diagonal/>
    </border>
    <border>
      <left style="thin">
        <color rgb="FF318F76"/>
      </left>
      <right style="medium">
        <color theme="0"/>
      </right>
      <top style="medium">
        <color theme="0"/>
      </top>
      <bottom style="thin">
        <color rgb="FF318F76"/>
      </bottom>
      <diagonal/>
    </border>
    <border>
      <left style="medium">
        <color theme="0"/>
      </left>
      <right style="thin">
        <color rgb="FF318F76"/>
      </right>
      <top style="thin">
        <color rgb="FF318F76"/>
      </top>
      <bottom style="thin">
        <color rgb="FF318F76"/>
      </bottom>
      <diagonal/>
    </border>
    <border>
      <left style="thin">
        <color rgb="FF318F76"/>
      </left>
      <right style="thin">
        <color rgb="FF318F76"/>
      </right>
      <top style="thin">
        <color rgb="FF318F76"/>
      </top>
      <bottom style="thin">
        <color rgb="FF318F76"/>
      </bottom>
      <diagonal/>
    </border>
    <border>
      <left style="medium">
        <color theme="0"/>
      </left>
      <right style="thin">
        <color rgb="FF318F76"/>
      </right>
      <top style="thin">
        <color rgb="FF318F76"/>
      </top>
      <bottom style="medium">
        <color theme="0"/>
      </bottom>
      <diagonal/>
    </border>
    <border>
      <left style="thin">
        <color rgb="FF318F76"/>
      </left>
      <right style="thin">
        <color rgb="FF318F76"/>
      </right>
      <top style="thin">
        <color rgb="FF318F76"/>
      </top>
      <bottom style="medium">
        <color theme="0"/>
      </bottom>
      <diagonal/>
    </border>
    <border>
      <left style="thin">
        <color rgb="FF318F76"/>
      </left>
      <right/>
      <top style="thin">
        <color rgb="FF318F76"/>
      </top>
      <bottom style="thin">
        <color rgb="FF318F76"/>
      </bottom>
      <diagonal/>
    </border>
    <border>
      <left/>
      <right/>
      <top style="thin">
        <color rgb="FF318F76"/>
      </top>
      <bottom style="thin">
        <color rgb="FF318F76"/>
      </bottom>
      <diagonal/>
    </border>
    <border>
      <left/>
      <right style="medium">
        <color theme="0"/>
      </right>
      <top style="thin">
        <color rgb="FF318F76"/>
      </top>
      <bottom style="thin">
        <color rgb="FF318F76"/>
      </bottom>
      <diagonal/>
    </border>
    <border>
      <left/>
      <right style="thin">
        <color rgb="FF318F76"/>
      </right>
      <top style="thin">
        <color rgb="FF318F76"/>
      </top>
      <bottom style="thin">
        <color rgb="FF318F76"/>
      </bottom>
      <diagonal/>
    </border>
    <border>
      <left style="thin">
        <color rgb="FF318F76"/>
      </left>
      <right/>
      <top style="thin">
        <color rgb="FF318F76"/>
      </top>
      <bottom style="medium">
        <color theme="0"/>
      </bottom>
      <diagonal/>
    </border>
    <border>
      <left/>
      <right/>
      <top style="thin">
        <color rgb="FF318F76"/>
      </top>
      <bottom style="medium">
        <color theme="0"/>
      </bottom>
      <diagonal/>
    </border>
    <border>
      <left/>
      <right style="medium">
        <color theme="0"/>
      </right>
      <top style="thin">
        <color rgb="FF318F76"/>
      </top>
      <bottom style="medium">
        <color theme="0"/>
      </bottom>
      <diagonal/>
    </border>
    <border>
      <left/>
      <right style="thin">
        <color rgb="FF318F76"/>
      </right>
      <top style="thin">
        <color rgb="FF318F76"/>
      </top>
      <bottom style="medium">
        <color theme="0"/>
      </bottom>
      <diagonal/>
    </border>
    <border>
      <left style="medium">
        <color theme="0"/>
      </left>
      <right style="thin">
        <color rgb="FF3AA88B"/>
      </right>
      <top style="medium">
        <color theme="0"/>
      </top>
      <bottom style="thin">
        <color rgb="FF3AA88B"/>
      </bottom>
      <diagonal/>
    </border>
    <border>
      <left style="thin">
        <color rgb="FF3AA88B"/>
      </left>
      <right style="thin">
        <color rgb="FF3AA88B"/>
      </right>
      <top style="medium">
        <color theme="0"/>
      </top>
      <bottom style="thin">
        <color rgb="FF3AA88B"/>
      </bottom>
      <diagonal/>
    </border>
    <border>
      <left style="thin">
        <color rgb="FF3AA88B"/>
      </left>
      <right style="medium">
        <color theme="0"/>
      </right>
      <top style="medium">
        <color theme="0"/>
      </top>
      <bottom style="thin">
        <color rgb="FF3AA88B"/>
      </bottom>
      <diagonal/>
    </border>
    <border>
      <left style="medium">
        <color theme="0"/>
      </left>
      <right style="thin">
        <color rgb="FF3AA88B"/>
      </right>
      <top style="thin">
        <color rgb="FF3AA88B"/>
      </top>
      <bottom style="thin">
        <color rgb="FF3AA88B"/>
      </bottom>
      <diagonal/>
    </border>
    <border>
      <left style="thin">
        <color rgb="FF3AA88B"/>
      </left>
      <right style="thin">
        <color rgb="FF3AA88B"/>
      </right>
      <top style="thin">
        <color rgb="FF3AA88B"/>
      </top>
      <bottom style="thin">
        <color rgb="FF3AA88B"/>
      </bottom>
      <diagonal/>
    </border>
    <border>
      <left style="thin">
        <color rgb="FF3AA88B"/>
      </left>
      <right style="medium">
        <color theme="0"/>
      </right>
      <top style="thin">
        <color rgb="FF3AA88B"/>
      </top>
      <bottom style="thin">
        <color rgb="FF3AA88B"/>
      </bottom>
      <diagonal/>
    </border>
    <border>
      <left style="thin">
        <color rgb="FF3AA88B"/>
      </left>
      <right/>
      <top style="thin">
        <color rgb="FF3AA88B"/>
      </top>
      <bottom style="thin">
        <color rgb="FF3AA88B"/>
      </bottom>
      <diagonal/>
    </border>
    <border>
      <left/>
      <right style="thin">
        <color rgb="FF3AA88B"/>
      </right>
      <top style="thin">
        <color rgb="FF3AA88B"/>
      </top>
      <bottom style="thin">
        <color rgb="FF3AA88B"/>
      </bottom>
      <diagonal/>
    </border>
    <border>
      <left style="medium">
        <color theme="0"/>
      </left>
      <right style="thin">
        <color rgb="FF226453"/>
      </right>
      <top style="medium">
        <color theme="0"/>
      </top>
      <bottom style="thin">
        <color rgb="FF226453"/>
      </bottom>
      <diagonal/>
    </border>
    <border>
      <left style="thin">
        <color rgb="FF226453"/>
      </left>
      <right style="thin">
        <color rgb="FF226453"/>
      </right>
      <top style="medium">
        <color theme="0"/>
      </top>
      <bottom style="thin">
        <color rgb="FF226453"/>
      </bottom>
      <diagonal/>
    </border>
    <border>
      <left style="thin">
        <color rgb="FF226453"/>
      </left>
      <right style="medium">
        <color theme="0"/>
      </right>
      <top style="medium">
        <color theme="0"/>
      </top>
      <bottom style="thin">
        <color rgb="FF226453"/>
      </bottom>
      <diagonal/>
    </border>
    <border>
      <left style="medium">
        <color theme="0"/>
      </left>
      <right style="thin">
        <color rgb="FF226453"/>
      </right>
      <top style="thin">
        <color rgb="FF226453"/>
      </top>
      <bottom style="thin">
        <color rgb="FF226453"/>
      </bottom>
      <diagonal/>
    </border>
    <border>
      <left style="thin">
        <color rgb="FF226453"/>
      </left>
      <right style="thin">
        <color rgb="FF226453"/>
      </right>
      <top style="thin">
        <color rgb="FF226453"/>
      </top>
      <bottom style="thin">
        <color rgb="FF226453"/>
      </bottom>
      <diagonal/>
    </border>
    <border>
      <left style="thin">
        <color rgb="FF226453"/>
      </left>
      <right style="medium">
        <color theme="0"/>
      </right>
      <top style="thin">
        <color rgb="FF226453"/>
      </top>
      <bottom style="thin">
        <color rgb="FF226453"/>
      </bottom>
      <diagonal/>
    </border>
    <border>
      <left style="medium">
        <color theme="0"/>
      </left>
      <right style="thin">
        <color rgb="FF226453"/>
      </right>
      <top style="thin">
        <color rgb="FF226453"/>
      </top>
      <bottom style="medium">
        <color theme="0"/>
      </bottom>
      <diagonal/>
    </border>
    <border>
      <left style="thin">
        <color rgb="FF226453"/>
      </left>
      <right style="thin">
        <color rgb="FF226453"/>
      </right>
      <top style="thin">
        <color rgb="FF226453"/>
      </top>
      <bottom style="medium">
        <color theme="0"/>
      </bottom>
      <diagonal/>
    </border>
    <border>
      <left style="thin">
        <color rgb="FF226453"/>
      </left>
      <right style="medium">
        <color theme="0"/>
      </right>
      <top style="thin">
        <color rgb="FF226453"/>
      </top>
      <bottom style="medium">
        <color theme="0"/>
      </bottom>
      <diagonal/>
    </border>
    <border>
      <left style="medium">
        <color theme="0"/>
      </left>
      <right style="thin">
        <color rgb="FF2A7A65"/>
      </right>
      <top style="thin">
        <color rgb="FF2A7A65"/>
      </top>
      <bottom style="thin">
        <color rgb="FF2A7A65"/>
      </bottom>
      <diagonal/>
    </border>
    <border>
      <left style="thin">
        <color rgb="FF2A7A65"/>
      </left>
      <right style="thin">
        <color rgb="FF2A7A65"/>
      </right>
      <top style="thin">
        <color rgb="FF2A7A65"/>
      </top>
      <bottom style="thin">
        <color rgb="FF2A7A65"/>
      </bottom>
      <diagonal/>
    </border>
    <border>
      <left style="thin">
        <color rgb="FF2A7A65"/>
      </left>
      <right style="medium">
        <color theme="0"/>
      </right>
      <top style="thin">
        <color rgb="FF2A7A65"/>
      </top>
      <bottom style="thin">
        <color rgb="FF2A7A65"/>
      </bottom>
      <diagonal/>
    </border>
    <border>
      <left style="medium">
        <color theme="0"/>
      </left>
      <right style="thin">
        <color rgb="FF2A7A65"/>
      </right>
      <top style="thin">
        <color rgb="FF2A7A65"/>
      </top>
      <bottom style="medium">
        <color theme="0"/>
      </bottom>
      <diagonal/>
    </border>
    <border>
      <left style="thin">
        <color rgb="FF2A7A65"/>
      </left>
      <right style="thin">
        <color rgb="FF2A7A65"/>
      </right>
      <top style="thin">
        <color rgb="FF2A7A65"/>
      </top>
      <bottom style="medium">
        <color theme="0"/>
      </bottom>
      <diagonal/>
    </border>
    <border>
      <left style="thin">
        <color rgb="FF2A7A65"/>
      </left>
      <right style="medium">
        <color theme="0"/>
      </right>
      <top style="thin">
        <color rgb="FF2A7A65"/>
      </top>
      <bottom style="medium">
        <color theme="0"/>
      </bottom>
      <diagonal/>
    </border>
    <border>
      <left/>
      <right style="thin">
        <color rgb="FF2A7A65"/>
      </right>
      <top style="thin">
        <color rgb="FF2A7A65"/>
      </top>
      <bottom style="thin">
        <color rgb="FF2A7A65"/>
      </bottom>
      <diagonal/>
    </border>
    <border>
      <left/>
      <right style="thin">
        <color rgb="FF2A7A65"/>
      </right>
      <top style="thin">
        <color rgb="FF2A7A65"/>
      </top>
      <bottom style="medium">
        <color theme="0"/>
      </bottom>
      <diagonal/>
    </border>
    <border>
      <left style="medium">
        <color theme="0"/>
      </left>
      <right/>
      <top style="thin">
        <color rgb="FF2A7A65"/>
      </top>
      <bottom style="thin">
        <color rgb="FF2A7A65"/>
      </bottom>
      <diagonal/>
    </border>
    <border>
      <left style="medium">
        <color theme="0"/>
      </left>
      <right/>
      <top style="thin">
        <color rgb="FF2A7A65"/>
      </top>
      <bottom style="medium">
        <color theme="0"/>
      </bottom>
      <diagonal/>
    </border>
    <border>
      <left style="medium">
        <color theme="0"/>
      </left>
      <right style="thin">
        <color rgb="FF2A7A65"/>
      </right>
      <top/>
      <bottom style="thin">
        <color rgb="FF2A7A65"/>
      </bottom>
      <diagonal/>
    </border>
    <border>
      <left style="thin">
        <color rgb="FF2A7A65"/>
      </left>
      <right style="thin">
        <color rgb="FF2A7A65"/>
      </right>
      <top/>
      <bottom style="thin">
        <color rgb="FF2A7A65"/>
      </bottom>
      <diagonal/>
    </border>
    <border>
      <left style="thin">
        <color rgb="FF2A7A65"/>
      </left>
      <right style="medium">
        <color theme="0"/>
      </right>
      <top/>
      <bottom style="thin">
        <color rgb="FF2A7A65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31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6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 applyProtection="1">
      <alignment horizontal="left" vertical="center"/>
      <protection locked="0"/>
    </xf>
    <xf numFmtId="0" fontId="6" fillId="2" borderId="0" xfId="0" applyFont="1" applyFill="1" applyAlignment="1">
      <alignment horizontal="left" vertical="center"/>
    </xf>
    <xf numFmtId="0" fontId="4" fillId="3" borderId="0" xfId="0" applyFont="1" applyFill="1"/>
    <xf numFmtId="0" fontId="8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8" fillId="7" borderId="7" xfId="0" applyFont="1" applyFill="1" applyBorder="1" applyAlignment="1">
      <alignment horizontal="center" vertical="center"/>
    </xf>
    <xf numFmtId="44" fontId="4" fillId="5" borderId="0" xfId="1" applyFont="1" applyFill="1" applyAlignment="1">
      <alignment vertical="center"/>
    </xf>
    <xf numFmtId="169" fontId="0" fillId="0" borderId="10" xfId="0" applyNumberFormat="1" applyBorder="1" applyAlignment="1" applyProtection="1">
      <alignment horizontal="center" vertical="center"/>
      <protection locked="0"/>
    </xf>
    <xf numFmtId="170" fontId="0" fillId="0" borderId="10" xfId="0" applyNumberFormat="1" applyBorder="1" applyAlignment="1" applyProtection="1">
      <alignment horizontal="center" vertical="center"/>
      <protection locked="0"/>
    </xf>
    <xf numFmtId="169" fontId="0" fillId="0" borderId="13" xfId="0" applyNumberFormat="1" applyBorder="1" applyAlignment="1" applyProtection="1">
      <alignment horizontal="center" vertical="center"/>
      <protection locked="0"/>
    </xf>
    <xf numFmtId="170" fontId="0" fillId="0" borderId="13" xfId="0" applyNumberFormat="1" applyBorder="1" applyAlignment="1" applyProtection="1">
      <alignment horizontal="center" vertical="center"/>
      <protection locked="0"/>
    </xf>
    <xf numFmtId="169" fontId="0" fillId="0" borderId="15" xfId="0" applyNumberFormat="1" applyBorder="1" applyAlignment="1" applyProtection="1">
      <alignment horizontal="center" vertical="center"/>
      <protection locked="0"/>
    </xf>
    <xf numFmtId="170" fontId="0" fillId="0" borderId="15" xfId="0" applyNumberFormat="1" applyBorder="1" applyAlignment="1" applyProtection="1">
      <alignment horizontal="center" vertical="center"/>
      <protection locked="0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169" fontId="0" fillId="0" borderId="25" xfId="0" applyNumberFormat="1" applyBorder="1" applyAlignment="1" applyProtection="1">
      <alignment horizontal="center" vertical="center"/>
      <protection locked="0"/>
    </xf>
    <xf numFmtId="169" fontId="0" fillId="0" borderId="28" xfId="0" applyNumberFormat="1" applyBorder="1" applyAlignment="1" applyProtection="1">
      <alignment horizontal="center" vertical="center"/>
      <protection locked="0"/>
    </xf>
    <xf numFmtId="0" fontId="0" fillId="7" borderId="0" xfId="0" applyFill="1"/>
    <xf numFmtId="0" fontId="8" fillId="7" borderId="1" xfId="0" applyFont="1" applyFill="1" applyBorder="1" applyAlignment="1">
      <alignment vertical="center"/>
    </xf>
    <xf numFmtId="0" fontId="8" fillId="7" borderId="2" xfId="0" applyFont="1" applyFill="1" applyBorder="1" applyAlignment="1">
      <alignment vertical="center"/>
    </xf>
    <xf numFmtId="4" fontId="10" fillId="0" borderId="42" xfId="1" applyNumberFormat="1" applyFont="1" applyFill="1" applyBorder="1" applyAlignment="1" applyProtection="1">
      <alignment horizontal="right"/>
      <protection locked="0"/>
    </xf>
    <xf numFmtId="4" fontId="10" fillId="0" borderId="45" xfId="1" applyNumberFormat="1" applyFont="1" applyFill="1" applyBorder="1" applyAlignment="1" applyProtection="1">
      <alignment horizontal="right"/>
      <protection locked="0"/>
    </xf>
    <xf numFmtId="172" fontId="8" fillId="7" borderId="0" xfId="0" applyNumberFormat="1" applyFont="1" applyFill="1" applyAlignment="1">
      <alignment horizontal="center" vertical="center"/>
    </xf>
    <xf numFmtId="4" fontId="10" fillId="0" borderId="52" xfId="1" applyNumberFormat="1" applyFont="1" applyFill="1" applyBorder="1" applyAlignment="1" applyProtection="1">
      <alignment horizontal="right"/>
      <protection locked="0"/>
    </xf>
    <xf numFmtId="4" fontId="12" fillId="6" borderId="43" xfId="1" applyNumberFormat="1" applyFont="1" applyFill="1" applyBorder="1" applyAlignment="1" applyProtection="1">
      <alignment horizontal="right"/>
    </xf>
    <xf numFmtId="4" fontId="12" fillId="6" borderId="53" xfId="1" applyNumberFormat="1" applyFont="1" applyFill="1" applyBorder="1" applyAlignment="1" applyProtection="1">
      <alignment horizontal="right"/>
    </xf>
    <xf numFmtId="4" fontId="12" fillId="6" borderId="46" xfId="1" applyNumberFormat="1" applyFont="1" applyFill="1" applyBorder="1" applyAlignment="1" applyProtection="1">
      <alignment horizontal="right"/>
    </xf>
    <xf numFmtId="4" fontId="12" fillId="6" borderId="45" xfId="1" applyNumberFormat="1" applyFont="1" applyFill="1" applyBorder="1" applyAlignment="1" applyProtection="1">
      <alignment horizontal="right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6" fillId="0" borderId="0" xfId="0" applyNumberFormat="1" applyFont="1" applyAlignment="1" applyProtection="1">
      <alignment horizontal="left" vertical="center"/>
      <protection locked="0"/>
    </xf>
    <xf numFmtId="165" fontId="6" fillId="0" borderId="0" xfId="0" applyNumberFormat="1" applyFont="1" applyAlignment="1" applyProtection="1">
      <alignment horizontal="left" vertical="center"/>
      <protection locked="0"/>
    </xf>
    <xf numFmtId="166" fontId="6" fillId="0" borderId="0" xfId="0" applyNumberFormat="1" applyFont="1" applyAlignment="1" applyProtection="1">
      <alignment horizontal="left" vertical="center"/>
      <protection locked="0"/>
    </xf>
    <xf numFmtId="167" fontId="6" fillId="0" borderId="0" xfId="0" applyNumberFormat="1" applyFont="1" applyAlignment="1" applyProtection="1">
      <alignment horizontal="left" vertical="center"/>
      <protection locked="0"/>
    </xf>
    <xf numFmtId="49" fontId="7" fillId="0" borderId="0" xfId="2" applyNumberFormat="1" applyFill="1" applyAlignment="1" applyProtection="1">
      <alignment horizontal="left" vertical="center"/>
      <protection locked="0"/>
    </xf>
    <xf numFmtId="49" fontId="6" fillId="0" borderId="0" xfId="0" applyNumberFormat="1" applyFont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4" fontId="6" fillId="0" borderId="0" xfId="0" applyNumberFormat="1" applyFont="1" applyAlignment="1" applyProtection="1">
      <alignment horizontal="left" vertical="center"/>
      <protection locked="0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44" fontId="3" fillId="3" borderId="0" xfId="1" applyFont="1" applyFill="1" applyAlignment="1">
      <alignment horizontal="center" vertical="center"/>
    </xf>
    <xf numFmtId="0" fontId="0" fillId="0" borderId="35" xfId="0" applyBorder="1" applyAlignment="1" applyProtection="1">
      <alignment horizontal="left" vertical="center"/>
      <protection locked="0"/>
    </xf>
    <xf numFmtId="0" fontId="0" fillId="0" borderId="36" xfId="0" applyBorder="1" applyAlignment="1" applyProtection="1">
      <alignment horizontal="left" vertical="center"/>
      <protection locked="0"/>
    </xf>
    <xf numFmtId="0" fontId="0" fillId="0" borderId="32" xfId="0" applyBorder="1" applyAlignment="1" applyProtection="1">
      <alignment horizontal="left" vertical="center"/>
      <protection locked="0"/>
    </xf>
    <xf numFmtId="0" fontId="0" fillId="0" borderId="33" xfId="0" applyBorder="1" applyAlignment="1" applyProtection="1">
      <alignment horizontal="left" vertical="center"/>
      <protection locked="0"/>
    </xf>
    <xf numFmtId="168" fontId="0" fillId="0" borderId="36" xfId="0" applyNumberFormat="1" applyBorder="1" applyAlignment="1" applyProtection="1">
      <alignment horizontal="center"/>
      <protection locked="0"/>
    </xf>
    <xf numFmtId="0" fontId="0" fillId="0" borderId="36" xfId="0" applyBorder="1" applyProtection="1">
      <protection locked="0"/>
    </xf>
    <xf numFmtId="0" fontId="0" fillId="0" borderId="37" xfId="0" applyBorder="1" applyProtection="1">
      <protection locked="0"/>
    </xf>
    <xf numFmtId="171" fontId="0" fillId="0" borderId="39" xfId="0" applyNumberFormat="1" applyBorder="1" applyAlignment="1" applyProtection="1">
      <alignment horizontal="center" vertical="center"/>
      <protection locked="0"/>
    </xf>
    <xf numFmtId="168" fontId="0" fillId="0" borderId="39" xfId="0" applyNumberForma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38" xfId="0" applyBorder="1" applyAlignment="1" applyProtection="1">
      <alignment horizontal="left" vertical="center"/>
      <protection locked="0"/>
    </xf>
    <xf numFmtId="0" fontId="0" fillId="0" borderId="39" xfId="0" applyBorder="1" applyAlignment="1" applyProtection="1">
      <alignment horizontal="left" vertical="center"/>
      <protection locked="0"/>
    </xf>
    <xf numFmtId="171" fontId="0" fillId="0" borderId="36" xfId="0" applyNumberFormat="1" applyBorder="1" applyAlignment="1" applyProtection="1">
      <alignment horizontal="center" vertical="center"/>
      <protection locked="0"/>
    </xf>
    <xf numFmtId="171" fontId="0" fillId="0" borderId="33" xfId="0" applyNumberFormat="1" applyBorder="1" applyAlignment="1" applyProtection="1">
      <alignment horizontal="center" vertical="center"/>
      <protection locked="0"/>
    </xf>
    <xf numFmtId="168" fontId="0" fillId="0" borderId="33" xfId="0" applyNumberFormat="1" applyBorder="1" applyAlignment="1" applyProtection="1">
      <alignment horizontal="center"/>
      <protection locked="0"/>
    </xf>
    <xf numFmtId="0" fontId="0" fillId="0" borderId="33" xfId="0" applyBorder="1" applyProtection="1">
      <protection locked="0"/>
    </xf>
    <xf numFmtId="0" fontId="0" fillId="0" borderId="34" xfId="0" applyBorder="1" applyProtection="1">
      <protection locked="0"/>
    </xf>
    <xf numFmtId="0" fontId="5" fillId="3" borderId="0" xfId="0" applyFont="1" applyFill="1" applyAlignment="1">
      <alignment horizontal="left" vertical="center"/>
    </xf>
    <xf numFmtId="0" fontId="4" fillId="7" borderId="7" xfId="0" applyFont="1" applyFill="1" applyBorder="1" applyAlignment="1">
      <alignment horizontal="center" vertical="center"/>
    </xf>
    <xf numFmtId="164" fontId="13" fillId="6" borderId="50" xfId="0" applyNumberFormat="1" applyFont="1" applyFill="1" applyBorder="1" applyAlignment="1" applyProtection="1">
      <alignment horizontal="center" vertical="center"/>
      <protection locked="0"/>
    </xf>
    <xf numFmtId="164" fontId="13" fillId="6" borderId="48" xfId="0" applyNumberFormat="1" applyFont="1" applyFill="1" applyBorder="1" applyAlignment="1" applyProtection="1">
      <alignment horizontal="center" vertical="center"/>
      <protection locked="0"/>
    </xf>
    <xf numFmtId="164" fontId="11" fillId="0" borderId="41" xfId="0" applyNumberFormat="1" applyFont="1" applyBorder="1" applyAlignment="1" applyProtection="1">
      <alignment horizontal="center" vertical="center"/>
      <protection locked="0"/>
    </xf>
    <xf numFmtId="164" fontId="11" fillId="0" borderId="42" xfId="0" applyNumberFormat="1" applyFont="1" applyBorder="1" applyAlignment="1" applyProtection="1">
      <alignment horizontal="center" vertical="center"/>
      <protection locked="0"/>
    </xf>
    <xf numFmtId="164" fontId="11" fillId="0" borderId="44" xfId="0" applyNumberFormat="1" applyFont="1" applyBorder="1" applyAlignment="1" applyProtection="1">
      <alignment horizontal="center" vertical="center"/>
      <protection locked="0"/>
    </xf>
    <xf numFmtId="164" fontId="11" fillId="0" borderId="45" xfId="0" applyNumberFormat="1" applyFont="1" applyBorder="1" applyAlignment="1" applyProtection="1">
      <alignment horizontal="center" vertical="center"/>
      <protection locked="0"/>
    </xf>
    <xf numFmtId="172" fontId="8" fillId="7" borderId="2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11" fillId="0" borderId="51" xfId="0" applyNumberFormat="1" applyFont="1" applyBorder="1" applyAlignment="1" applyProtection="1">
      <alignment horizontal="center" vertical="center"/>
      <protection locked="0"/>
    </xf>
    <xf numFmtId="164" fontId="11" fillId="0" borderId="52" xfId="0" applyNumberFormat="1" applyFont="1" applyBorder="1" applyAlignment="1" applyProtection="1">
      <alignment horizontal="center" vertical="center"/>
      <protection locked="0"/>
    </xf>
    <xf numFmtId="164" fontId="11" fillId="0" borderId="49" xfId="0" applyNumberFormat="1" applyFont="1" applyBorder="1" applyAlignment="1" applyProtection="1">
      <alignment horizontal="center" vertical="center"/>
      <protection locked="0"/>
    </xf>
    <xf numFmtId="164" fontId="11" fillId="0" borderId="47" xfId="0" applyNumberFormat="1" applyFont="1" applyBorder="1" applyAlignment="1" applyProtection="1">
      <alignment horizontal="center" vertical="center"/>
      <protection locked="0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44" fontId="3" fillId="4" borderId="0" xfId="1" applyFont="1" applyFill="1" applyAlignment="1">
      <alignment horizontal="center" vertical="center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168" fontId="0" fillId="0" borderId="20" xfId="0" applyNumberFormat="1" applyBorder="1" applyAlignment="1" applyProtection="1">
      <alignment horizontal="center"/>
      <protection locked="0"/>
    </xf>
    <xf numFmtId="168" fontId="0" fillId="0" borderId="23" xfId="0" applyNumberFormat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44" fontId="4" fillId="5" borderId="0" xfId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168" fontId="0" fillId="0" borderId="16" xfId="0" applyNumberFormat="1" applyBorder="1" applyAlignment="1" applyProtection="1">
      <alignment horizontal="center"/>
      <protection locked="0"/>
    </xf>
    <xf numFmtId="168" fontId="0" fillId="0" borderId="19" xfId="0" applyNumberFormat="1" applyBorder="1" applyAlignment="1" applyProtection="1">
      <alignment horizontal="center"/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4" fillId="7" borderId="8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168" fontId="0" fillId="0" borderId="10" xfId="0" applyNumberFormat="1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44" fontId="4" fillId="6" borderId="0" xfId="1" applyFont="1" applyFill="1" applyAlignment="1">
      <alignment horizontal="center"/>
    </xf>
    <xf numFmtId="0" fontId="4" fillId="6" borderId="0" xfId="0" applyFont="1" applyFill="1" applyAlignment="1">
      <alignment horizontal="right" vertical="center"/>
    </xf>
    <xf numFmtId="170" fontId="0" fillId="0" borderId="30" xfId="0" applyNumberFormat="1" applyBorder="1" applyAlignment="1" applyProtection="1">
      <alignment horizontal="center" vertical="center"/>
      <protection locked="0"/>
    </xf>
    <xf numFmtId="170" fontId="0" fillId="0" borderId="31" xfId="0" applyNumberFormat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0" fillId="0" borderId="29" xfId="0" applyBorder="1" applyProtection="1">
      <protection locked="0"/>
    </xf>
    <xf numFmtId="168" fontId="0" fillId="0" borderId="28" xfId="0" applyNumberFormat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168" fontId="0" fillId="0" borderId="25" xfId="0" applyNumberFormat="1" applyBorder="1" applyAlignment="1" applyProtection="1">
      <alignment horizontal="center"/>
      <protection locked="0"/>
    </xf>
    <xf numFmtId="0" fontId="4" fillId="7" borderId="7" xfId="0" applyFont="1" applyFill="1" applyBorder="1" applyAlignment="1">
      <alignment vertical="center"/>
    </xf>
    <xf numFmtId="170" fontId="0" fillId="0" borderId="25" xfId="0" applyNumberFormat="1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left" vertical="center"/>
      <protection locked="0"/>
    </xf>
    <xf numFmtId="0" fontId="0" fillId="0" borderId="28" xfId="0" applyBorder="1" applyAlignment="1" applyProtection="1">
      <alignment horizontal="left" vertical="center"/>
      <protection locked="0"/>
    </xf>
    <xf numFmtId="0" fontId="5" fillId="6" borderId="0" xfId="0" applyFont="1" applyFill="1" applyAlignment="1">
      <alignment horizontal="left" vertical="center"/>
    </xf>
    <xf numFmtId="0" fontId="0" fillId="0" borderId="24" xfId="0" applyBorder="1" applyAlignment="1" applyProtection="1">
      <alignment horizontal="left" vertical="center"/>
      <protection locked="0"/>
    </xf>
    <xf numFmtId="0" fontId="0" fillId="0" borderId="25" xfId="0" applyBorder="1" applyAlignment="1" applyProtection="1">
      <alignment horizontal="left" vertical="center"/>
      <protection locked="0"/>
    </xf>
  </cellXfs>
  <cellStyles count="3">
    <cellStyle name="Hiperlink" xfId="2" builtinId="8"/>
    <cellStyle name="Moeda" xfId="1" builtinId="4"/>
    <cellStyle name="Normal" xfId="0" builtinId="0"/>
  </cellStyles>
  <dxfs count="4">
    <dxf>
      <numFmt numFmtId="164" formatCode="000&quot;.&quot;000&quot;.&quot;000&quot;-&quot;00"/>
    </dxf>
    <dxf>
      <numFmt numFmtId="171" formatCode="00&quot;.&quot;000&quot;.&quot;000&quot;/&quot;0000&quot;-&quot;00"/>
    </dxf>
    <dxf>
      <numFmt numFmtId="164" formatCode="000&quot;.&quot;000&quot;.&quot;000&quot;-&quot;00"/>
    </dxf>
    <dxf>
      <numFmt numFmtId="171" formatCode="00&quot;.&quot;000&quot;.&quot;000&quot;/&quot;0000&quot;-&quot;00"/>
    </dxf>
  </dxfs>
  <tableStyles count="0" defaultTableStyle="TableStyleMedium2" defaultPivotStyle="PivotStyleLight16"/>
  <colors>
    <mruColors>
      <color rgb="FF3AA88B"/>
      <color rgb="FF009999"/>
      <color rgb="FF2A7A65"/>
      <color rgb="FF226453"/>
      <color rgb="FF4ABE97"/>
      <color rgb="FF318F76"/>
      <color rgb="FF2B7D68"/>
      <color rgb="FF18483B"/>
      <color rgb="FF1F5B4B"/>
      <color rgb="FF4EC2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'Recebimento PF'!A1"/><Relationship Id="rId7" Type="http://schemas.openxmlformats.org/officeDocument/2006/relationships/hyperlink" Target="https://www.linkedin.com/in/ailtonriciopo/" TargetMode="External"/><Relationship Id="rId2" Type="http://schemas.openxmlformats.org/officeDocument/2006/relationships/hyperlink" Target="#Despesas!A1"/><Relationship Id="rId1" Type="http://schemas.openxmlformats.org/officeDocument/2006/relationships/image" Target="../media/image1.png"/><Relationship Id="rId6" Type="http://schemas.openxmlformats.org/officeDocument/2006/relationships/hyperlink" Target="#'Recebimento PJ'!A1"/><Relationship Id="rId5" Type="http://schemas.openxmlformats.org/officeDocument/2006/relationships/hyperlink" Target="#'Dados Contribuinte'!J8"/><Relationship Id="rId4" Type="http://schemas.openxmlformats.org/officeDocument/2006/relationships/hyperlink" Target="#'Saldos bancarios'!C13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'Recebimento PF'!A1"/><Relationship Id="rId7" Type="http://schemas.openxmlformats.org/officeDocument/2006/relationships/hyperlink" Target="https://www.linkedin.com/in/ailtonriciopo/" TargetMode="External"/><Relationship Id="rId2" Type="http://schemas.openxmlformats.org/officeDocument/2006/relationships/hyperlink" Target="#Despesas!A1"/><Relationship Id="rId1" Type="http://schemas.openxmlformats.org/officeDocument/2006/relationships/image" Target="../media/image1.png"/><Relationship Id="rId6" Type="http://schemas.openxmlformats.org/officeDocument/2006/relationships/hyperlink" Target="#'Recebimento PJ'!A1"/><Relationship Id="rId5" Type="http://schemas.openxmlformats.org/officeDocument/2006/relationships/hyperlink" Target="#'Dados Contribuinte'!J8"/><Relationship Id="rId4" Type="http://schemas.openxmlformats.org/officeDocument/2006/relationships/hyperlink" Target="#'Saldos bancarios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ailtonriciopo/" TargetMode="External"/><Relationship Id="rId3" Type="http://schemas.openxmlformats.org/officeDocument/2006/relationships/hyperlink" Target="#'Recebimento PF'!A1"/><Relationship Id="rId7" Type="http://schemas.openxmlformats.org/officeDocument/2006/relationships/hyperlink" Target="#'Saldos bancarios'!C13"/><Relationship Id="rId2" Type="http://schemas.openxmlformats.org/officeDocument/2006/relationships/hyperlink" Target="#Despesas!A1"/><Relationship Id="rId1" Type="http://schemas.openxmlformats.org/officeDocument/2006/relationships/image" Target="../media/image1.png"/><Relationship Id="rId6" Type="http://schemas.openxmlformats.org/officeDocument/2006/relationships/hyperlink" Target="#'Recebimento PJ'!A1"/><Relationship Id="rId5" Type="http://schemas.openxmlformats.org/officeDocument/2006/relationships/hyperlink" Target="#'Dados Contribuinte'!J8"/><Relationship Id="rId4" Type="http://schemas.openxmlformats.org/officeDocument/2006/relationships/hyperlink" Target="#'Saldos bancarios'!A1"/><Relationship Id="rId9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ailtonriciopo/" TargetMode="External"/><Relationship Id="rId3" Type="http://schemas.openxmlformats.org/officeDocument/2006/relationships/hyperlink" Target="#'Recebimento PF'!A1"/><Relationship Id="rId7" Type="http://schemas.openxmlformats.org/officeDocument/2006/relationships/hyperlink" Target="#Despesas!P5"/><Relationship Id="rId2" Type="http://schemas.openxmlformats.org/officeDocument/2006/relationships/hyperlink" Target="#Despesas!A1"/><Relationship Id="rId1" Type="http://schemas.openxmlformats.org/officeDocument/2006/relationships/image" Target="../media/image1.png"/><Relationship Id="rId6" Type="http://schemas.openxmlformats.org/officeDocument/2006/relationships/hyperlink" Target="#'Recebimento PJ'!A1"/><Relationship Id="rId5" Type="http://schemas.openxmlformats.org/officeDocument/2006/relationships/hyperlink" Target="#'Dados Contribuinte'!J8"/><Relationship Id="rId4" Type="http://schemas.openxmlformats.org/officeDocument/2006/relationships/hyperlink" Target="#'Saldos bancarios'!C13"/><Relationship Id="rId9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'Recebimento PF'!A1"/><Relationship Id="rId7" Type="http://schemas.openxmlformats.org/officeDocument/2006/relationships/hyperlink" Target="https://www.linkedin.com/in/ailtonriciopo/" TargetMode="External"/><Relationship Id="rId2" Type="http://schemas.openxmlformats.org/officeDocument/2006/relationships/hyperlink" Target="#Despesas!A1"/><Relationship Id="rId1" Type="http://schemas.openxmlformats.org/officeDocument/2006/relationships/image" Target="../media/image1.png"/><Relationship Id="rId6" Type="http://schemas.openxmlformats.org/officeDocument/2006/relationships/hyperlink" Target="#'Recebimento PJ'!A1"/><Relationship Id="rId5" Type="http://schemas.openxmlformats.org/officeDocument/2006/relationships/hyperlink" Target="#'Dados Contribuinte'!J8"/><Relationship Id="rId4" Type="http://schemas.openxmlformats.org/officeDocument/2006/relationships/hyperlink" Target="#'Saldos bancarios'!C1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85725</xdr:rowOff>
    </xdr:from>
    <xdr:to>
      <xdr:col>18</xdr:col>
      <xdr:colOff>19251</xdr:colOff>
      <xdr:row>3</xdr:row>
      <xdr:rowOff>93825</xdr:rowOff>
    </xdr:to>
    <xdr:sp macro="" textlink="">
      <xdr:nvSpPr>
        <xdr:cNvPr id="49" name="Retângulo: Cantos Arredondados 48">
          <a:extLst>
            <a:ext uri="{FF2B5EF4-FFF2-40B4-BE49-F238E27FC236}">
              <a16:creationId xmlns:a16="http://schemas.microsoft.com/office/drawing/2014/main" id="{57B09D0C-4C30-4195-88F7-B5C20C779646}"/>
            </a:ext>
          </a:extLst>
        </xdr:cNvPr>
        <xdr:cNvSpPr/>
      </xdr:nvSpPr>
      <xdr:spPr>
        <a:xfrm>
          <a:off x="133350" y="85725"/>
          <a:ext cx="11639751" cy="579600"/>
        </a:xfrm>
        <a:prstGeom prst="roundRect">
          <a:avLst/>
        </a:prstGeom>
        <a:solidFill>
          <a:srgbClr val="4ABE9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ysClr val="windowText" lastClr="000000"/>
              </a:solidFill>
              <a:latin typeface="Arial Black" panose="020B0A04020102020204" pitchFamily="34" charset="0"/>
            </a:rPr>
            <a:t>Sistema</a:t>
          </a:r>
          <a:r>
            <a:rPr lang="pt-BR" sz="1800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de Apoio ao Preenchimento da Declaração de IRPF</a:t>
          </a:r>
          <a:endParaRPr lang="pt-BR" sz="1800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123826</xdr:colOff>
      <xdr:row>0</xdr:row>
      <xdr:rowOff>95414</xdr:rowOff>
    </xdr:from>
    <xdr:to>
      <xdr:col>0</xdr:col>
      <xdr:colOff>1676397</xdr:colOff>
      <xdr:row>29</xdr:row>
      <xdr:rowOff>9526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8B5316EF-8A48-8B0B-8D88-E9AF560B8090}"/>
            </a:ext>
          </a:extLst>
        </xdr:cNvPr>
        <xdr:cNvGrpSpPr/>
      </xdr:nvGrpSpPr>
      <xdr:grpSpPr>
        <a:xfrm>
          <a:off x="123826" y="95414"/>
          <a:ext cx="1552571" cy="5438612"/>
          <a:chOff x="123826" y="152401"/>
          <a:chExt cx="1585795" cy="4801140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3CC34129-9EE8-D798-B181-BE27D5B602A8}"/>
              </a:ext>
            </a:extLst>
          </xdr:cNvPr>
          <xdr:cNvSpPr/>
        </xdr:nvSpPr>
        <xdr:spPr>
          <a:xfrm>
            <a:off x="123826" y="152401"/>
            <a:ext cx="1585795" cy="4801140"/>
          </a:xfrm>
          <a:prstGeom prst="roundRect">
            <a:avLst>
              <a:gd name="adj" fmla="val 6000"/>
            </a:avLst>
          </a:prstGeom>
          <a:solidFill>
            <a:srgbClr val="4ABE9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E4B7EBA4-A7A2-FC7B-A610-369D5C5DBA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09550" y="274382"/>
            <a:ext cx="1337212" cy="1441561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209550</xdr:colOff>
      <xdr:row>10</xdr:row>
      <xdr:rowOff>19050</xdr:rowOff>
    </xdr:from>
    <xdr:to>
      <xdr:col>1</xdr:col>
      <xdr:colOff>95250</xdr:colOff>
      <xdr:row>23</xdr:row>
      <xdr:rowOff>38548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E858F786-DF74-75DB-2798-8214348C732A}"/>
            </a:ext>
          </a:extLst>
        </xdr:cNvPr>
        <xdr:cNvGrpSpPr/>
      </xdr:nvGrpSpPr>
      <xdr:grpSpPr>
        <a:xfrm>
          <a:off x="209550" y="1924050"/>
          <a:ext cx="1562100" cy="2495998"/>
          <a:chOff x="209550" y="1428750"/>
          <a:chExt cx="1524000" cy="2495998"/>
        </a:xfrm>
      </xdr:grpSpPr>
      <xdr:sp macro="" textlink="">
        <xdr:nvSpPr>
          <xdr:cNvPr id="14" name="Retângulo: Cantos Arredondados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540C0F3-0D18-48EE-9BDD-B3F97BB6DEFE}"/>
              </a:ext>
            </a:extLst>
          </xdr:cNvPr>
          <xdr:cNvSpPr/>
        </xdr:nvSpPr>
        <xdr:spPr>
          <a:xfrm>
            <a:off x="209550" y="3409948"/>
            <a:ext cx="1524000" cy="514800"/>
          </a:xfrm>
          <a:prstGeom prst="roundRect">
            <a:avLst/>
          </a:prstGeom>
          <a:solidFill>
            <a:srgbClr val="3AA88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Despesas</a:t>
            </a:r>
          </a:p>
        </xdr:txBody>
      </xdr:sp>
      <xdr:sp macro="" textlink="">
        <xdr:nvSpPr>
          <xdr:cNvPr id="12" name="Retângulo: Cantos Arredondados 1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7F25752-AC01-485C-8A91-EC62AC60A608}"/>
              </a:ext>
            </a:extLst>
          </xdr:cNvPr>
          <xdr:cNvSpPr/>
        </xdr:nvSpPr>
        <xdr:spPr>
          <a:xfrm>
            <a:off x="209550" y="2419350"/>
            <a:ext cx="1524000" cy="514800"/>
          </a:xfrm>
          <a:prstGeom prst="roundRect">
            <a:avLst/>
          </a:prstGeom>
          <a:solidFill>
            <a:srgbClr val="2A7A6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Recebimentos de PF</a:t>
            </a:r>
          </a:p>
        </xdr:txBody>
      </xdr:sp>
      <xdr:sp macro="" textlink="">
        <xdr:nvSpPr>
          <xdr:cNvPr id="13" name="Retângulo: Cantos Arredondados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99B124D-CEAD-4A4B-ABA2-36AB71178116}"/>
              </a:ext>
            </a:extLst>
          </xdr:cNvPr>
          <xdr:cNvSpPr/>
        </xdr:nvSpPr>
        <xdr:spPr>
          <a:xfrm>
            <a:off x="209550" y="2914648"/>
            <a:ext cx="1524000" cy="514800"/>
          </a:xfrm>
          <a:prstGeom prst="roundRect">
            <a:avLst/>
          </a:prstGeom>
          <a:solidFill>
            <a:srgbClr val="318F7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Saldo bancário</a:t>
            </a: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2EED648-9AE1-6E89-281F-6B7C90EBC851}"/>
              </a:ext>
            </a:extLst>
          </xdr:cNvPr>
          <xdr:cNvSpPr/>
        </xdr:nvSpPr>
        <xdr:spPr>
          <a:xfrm>
            <a:off x="209550" y="1428750"/>
            <a:ext cx="1524000" cy="514350"/>
          </a:xfrm>
          <a:prstGeom prst="roundRect">
            <a:avLst/>
          </a:prstGeom>
          <a:solidFill>
            <a:srgbClr val="18483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900">
                <a:latin typeface="Arial Black" panose="020B0A04020102020204" pitchFamily="34" charset="0"/>
              </a:rPr>
              <a:t>Dados Contribuinte </a:t>
            </a:r>
          </a:p>
        </xdr:txBody>
      </xdr:sp>
      <xdr:sp macro="" textlink="">
        <xdr:nvSpPr>
          <xdr:cNvPr id="11" name="Retângulo: Cantos Arredondados 10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5D6F7B59-172F-4228-A38F-CDF886294DF2}"/>
              </a:ext>
            </a:extLst>
          </xdr:cNvPr>
          <xdr:cNvSpPr/>
        </xdr:nvSpPr>
        <xdr:spPr>
          <a:xfrm>
            <a:off x="209550" y="1924050"/>
            <a:ext cx="1524000" cy="514350"/>
          </a:xfrm>
          <a:prstGeom prst="roundRect">
            <a:avLst/>
          </a:prstGeom>
          <a:solidFill>
            <a:srgbClr val="22645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Recebimentos de PJ</a:t>
            </a:r>
          </a:p>
        </xdr:txBody>
      </xdr:sp>
    </xdr:grpSp>
    <xdr:clientData/>
  </xdr:twoCellAnchor>
  <xdr:twoCellAnchor>
    <xdr:from>
      <xdr:col>16</xdr:col>
      <xdr:colOff>123825</xdr:colOff>
      <xdr:row>4</xdr:row>
      <xdr:rowOff>9524</xdr:rowOff>
    </xdr:from>
    <xdr:to>
      <xdr:col>17</xdr:col>
      <xdr:colOff>76200</xdr:colOff>
      <xdr:row>5</xdr:row>
      <xdr:rowOff>71024</xdr:rowOff>
    </xdr:to>
    <xdr:sp macro="" textlink="">
      <xdr:nvSpPr>
        <xdr:cNvPr id="50" name="Seta: Pentágono 4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3FB65D7-3BB3-1445-266C-48922527501A}"/>
            </a:ext>
          </a:extLst>
        </xdr:cNvPr>
        <xdr:cNvSpPr/>
      </xdr:nvSpPr>
      <xdr:spPr>
        <a:xfrm>
          <a:off x="10658475" y="771524"/>
          <a:ext cx="561975" cy="252000"/>
        </a:xfrm>
        <a:prstGeom prst="homePlate">
          <a:avLst/>
        </a:prstGeom>
        <a:solidFill>
          <a:srgbClr val="4ABE9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1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rPr>
            <a:t>Prox</a:t>
          </a:r>
        </a:p>
      </xdr:txBody>
    </xdr:sp>
    <xdr:clientData/>
  </xdr:twoCellAnchor>
  <xdr:twoCellAnchor editAs="absolute">
    <xdr:from>
      <xdr:col>0</xdr:col>
      <xdr:colOff>714376</xdr:colOff>
      <xdr:row>25</xdr:row>
      <xdr:rowOff>104939</xdr:rowOff>
    </xdr:from>
    <xdr:to>
      <xdr:col>0</xdr:col>
      <xdr:colOff>1059560</xdr:colOff>
      <xdr:row>27</xdr:row>
      <xdr:rowOff>54139</xdr:rowOff>
    </xdr:to>
    <xdr:pic>
      <xdr:nvPicPr>
        <xdr:cNvPr id="4" name="icon_link" descr="Linkedin White Icons – Free Download SVG, PNG, GIF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927C99-0099-403D-8110-468AF0DF3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6" y="4867439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333375</xdr:colOff>
      <xdr:row>24</xdr:row>
      <xdr:rowOff>0</xdr:rowOff>
    </xdr:from>
    <xdr:to>
      <xdr:col>0</xdr:col>
      <xdr:colOff>1609725</xdr:colOff>
      <xdr:row>25</xdr:row>
      <xdr:rowOff>19050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4C37825-99FC-85ED-5DC9-DF9F2ECED307}"/>
            </a:ext>
          </a:extLst>
        </xdr:cNvPr>
        <xdr:cNvSpPr txBox="1"/>
      </xdr:nvSpPr>
      <xdr:spPr>
        <a:xfrm>
          <a:off x="333375" y="4572000"/>
          <a:ext cx="12763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Berlin Sans FB Demi" panose="020E0802020502020306" pitchFamily="34" charset="0"/>
            </a:rPr>
            <a:t>By Ailton</a:t>
          </a:r>
          <a:r>
            <a:rPr lang="pt-BR" sz="1100" b="1" baseline="0">
              <a:solidFill>
                <a:schemeClr val="bg1"/>
              </a:solidFill>
              <a:latin typeface="Berlin Sans FB Demi" panose="020E0802020502020306" pitchFamily="34" charset="0"/>
            </a:rPr>
            <a:t> Riciopo</a:t>
          </a:r>
          <a:endParaRPr lang="pt-BR" sz="1100" b="1">
            <a:solidFill>
              <a:schemeClr val="bg1"/>
            </a:solidFill>
            <a:latin typeface="Berlin Sans FB Demi" panose="020E0802020502020306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85724</xdr:rowOff>
    </xdr:from>
    <xdr:to>
      <xdr:col>18</xdr:col>
      <xdr:colOff>19052</xdr:colOff>
      <xdr:row>29</xdr:row>
      <xdr:rowOff>9526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8E5F5B3-5769-4D31-B7BB-071F9DE20A85}"/>
            </a:ext>
          </a:extLst>
        </xdr:cNvPr>
        <xdr:cNvGrpSpPr/>
      </xdr:nvGrpSpPr>
      <xdr:grpSpPr>
        <a:xfrm>
          <a:off x="123826" y="85724"/>
          <a:ext cx="11649076" cy="5448302"/>
          <a:chOff x="123826" y="85724"/>
          <a:chExt cx="11898356" cy="5356426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A28EEEA9-93CF-8532-880E-1EFFFFAE31EC}"/>
              </a:ext>
            </a:extLst>
          </xdr:cNvPr>
          <xdr:cNvSpPr/>
        </xdr:nvSpPr>
        <xdr:spPr>
          <a:xfrm>
            <a:off x="133351" y="85724"/>
            <a:ext cx="11888831" cy="569826"/>
          </a:xfrm>
          <a:prstGeom prst="roundRect">
            <a:avLst/>
          </a:prstGeom>
          <a:solidFill>
            <a:srgbClr val="4ABE9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Sistema</a:t>
            </a:r>
            <a:r>
              <a:rPr lang="pt-BR" sz="1800" baseline="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 de Apoio ao Preenchimento da Declaração de IRPF</a:t>
            </a:r>
            <a:endParaRPr lang="pt-BR" sz="1800">
              <a:solidFill>
                <a:sysClr val="windowText" lastClr="000000"/>
              </a:solidFill>
              <a:latin typeface="Arial Black" panose="020B0A04020102020204" pitchFamily="34" charset="0"/>
            </a:endParaRPr>
          </a:p>
        </xdr:txBody>
      </xdr: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CF7794B1-1D2C-C6F7-C7DB-13729C5AE30E}"/>
              </a:ext>
            </a:extLst>
          </xdr:cNvPr>
          <xdr:cNvGrpSpPr/>
        </xdr:nvGrpSpPr>
        <xdr:grpSpPr>
          <a:xfrm>
            <a:off x="123826" y="95251"/>
            <a:ext cx="1585798" cy="5346899"/>
            <a:chOff x="123826" y="152401"/>
            <a:chExt cx="1585798" cy="480114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CBF83EA-E7FE-E2E6-46C0-69CB8F6A9CBF}"/>
                </a:ext>
              </a:extLst>
            </xdr:cNvPr>
            <xdr:cNvSpPr/>
          </xdr:nvSpPr>
          <xdr:spPr>
            <a:xfrm>
              <a:off x="123826" y="152401"/>
              <a:ext cx="1585798" cy="4801140"/>
            </a:xfrm>
            <a:prstGeom prst="roundRect">
              <a:avLst>
                <a:gd name="adj" fmla="val 6000"/>
              </a:avLst>
            </a:prstGeom>
            <a:solidFill>
              <a:srgbClr val="4ABE97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7E3113A2-81C6-B154-46A5-CED0988550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09550" y="274382"/>
              <a:ext cx="1337212" cy="1441561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209550</xdr:colOff>
      <xdr:row>10</xdr:row>
      <xdr:rowOff>19050</xdr:rowOff>
    </xdr:from>
    <xdr:to>
      <xdr:col>1</xdr:col>
      <xdr:colOff>95250</xdr:colOff>
      <xdr:row>23</xdr:row>
      <xdr:rowOff>38548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BCD5E8AC-9A1D-4BBA-A4DC-808714E94BF7}"/>
            </a:ext>
          </a:extLst>
        </xdr:cNvPr>
        <xdr:cNvGrpSpPr/>
      </xdr:nvGrpSpPr>
      <xdr:grpSpPr>
        <a:xfrm>
          <a:off x="209550" y="1924050"/>
          <a:ext cx="1562100" cy="2495998"/>
          <a:chOff x="209550" y="1428750"/>
          <a:chExt cx="1524000" cy="2495998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992AB7D-A273-6580-9B8D-DF1040C98228}"/>
              </a:ext>
            </a:extLst>
          </xdr:cNvPr>
          <xdr:cNvSpPr/>
        </xdr:nvSpPr>
        <xdr:spPr>
          <a:xfrm>
            <a:off x="209550" y="3409948"/>
            <a:ext cx="1524000" cy="514800"/>
          </a:xfrm>
          <a:prstGeom prst="roundRect">
            <a:avLst/>
          </a:prstGeom>
          <a:solidFill>
            <a:srgbClr val="3AA88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Despesas</a:t>
            </a:r>
          </a:p>
        </xdr:txBody>
      </xdr:sp>
      <xdr:sp macro="" textlink="">
        <xdr:nvSpPr>
          <xdr:cNvPr id="9" name="Retângulo: Cantos Arredondados 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B448945-F9A8-3163-79B6-660BCAA292D3}"/>
              </a:ext>
            </a:extLst>
          </xdr:cNvPr>
          <xdr:cNvSpPr/>
        </xdr:nvSpPr>
        <xdr:spPr>
          <a:xfrm>
            <a:off x="209550" y="2419350"/>
            <a:ext cx="1524000" cy="514800"/>
          </a:xfrm>
          <a:prstGeom prst="roundRect">
            <a:avLst/>
          </a:prstGeom>
          <a:solidFill>
            <a:srgbClr val="2A7A6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Recebimentos de PF</a:t>
            </a: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52757F7-2F9F-252D-EA79-AF1B8EAB1C8F}"/>
              </a:ext>
            </a:extLst>
          </xdr:cNvPr>
          <xdr:cNvSpPr/>
        </xdr:nvSpPr>
        <xdr:spPr>
          <a:xfrm>
            <a:off x="209550" y="2914648"/>
            <a:ext cx="1524000" cy="514800"/>
          </a:xfrm>
          <a:prstGeom prst="roundRect">
            <a:avLst/>
          </a:prstGeom>
          <a:solidFill>
            <a:srgbClr val="318F7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Saldo bancário</a:t>
            </a:r>
          </a:p>
        </xdr:txBody>
      </xdr:sp>
      <xdr:sp macro="" textlink="">
        <xdr:nvSpPr>
          <xdr:cNvPr id="11" name="Retângulo: Cantos Arredondado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F960484-0DBE-1DE7-BCE7-19671E4E5A87}"/>
              </a:ext>
            </a:extLst>
          </xdr:cNvPr>
          <xdr:cNvSpPr/>
        </xdr:nvSpPr>
        <xdr:spPr>
          <a:xfrm>
            <a:off x="209550" y="1428750"/>
            <a:ext cx="1524000" cy="514350"/>
          </a:xfrm>
          <a:prstGeom prst="roundRect">
            <a:avLst/>
          </a:prstGeom>
          <a:solidFill>
            <a:srgbClr val="18483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900">
                <a:latin typeface="Arial Black" panose="020B0A04020102020204" pitchFamily="34" charset="0"/>
              </a:rPr>
              <a:t>Dados Contribuinte </a:t>
            </a:r>
          </a:p>
        </xdr:txBody>
      </xdr:sp>
      <xdr:sp macro="" textlink="">
        <xdr:nvSpPr>
          <xdr:cNvPr id="12" name="Retângulo: Cantos Arredondados 1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762E4A88-4C8A-881A-9863-60638436078A}"/>
              </a:ext>
            </a:extLst>
          </xdr:cNvPr>
          <xdr:cNvSpPr/>
        </xdr:nvSpPr>
        <xdr:spPr>
          <a:xfrm>
            <a:off x="209550" y="1924050"/>
            <a:ext cx="1524000" cy="514350"/>
          </a:xfrm>
          <a:prstGeom prst="roundRect">
            <a:avLst/>
          </a:prstGeom>
          <a:solidFill>
            <a:srgbClr val="22645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Recebimentos de PJ</a:t>
            </a:r>
          </a:p>
        </xdr:txBody>
      </xdr:sp>
    </xdr:grpSp>
    <xdr:clientData/>
  </xdr:twoCellAnchor>
  <xdr:twoCellAnchor>
    <xdr:from>
      <xdr:col>16</xdr:col>
      <xdr:colOff>123825</xdr:colOff>
      <xdr:row>4</xdr:row>
      <xdr:rowOff>9525</xdr:rowOff>
    </xdr:from>
    <xdr:to>
      <xdr:col>17</xdr:col>
      <xdr:colOff>76200</xdr:colOff>
      <xdr:row>5</xdr:row>
      <xdr:rowOff>71025</xdr:rowOff>
    </xdr:to>
    <xdr:sp macro="" textlink="">
      <xdr:nvSpPr>
        <xdr:cNvPr id="14" name="Seta: Pentágon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A1D9F3-82F8-4CEB-85D9-9291C773A995}"/>
            </a:ext>
          </a:extLst>
        </xdr:cNvPr>
        <xdr:cNvSpPr/>
      </xdr:nvSpPr>
      <xdr:spPr>
        <a:xfrm>
          <a:off x="10658475" y="771525"/>
          <a:ext cx="561975" cy="252000"/>
        </a:xfrm>
        <a:prstGeom prst="homePlate">
          <a:avLst/>
        </a:prstGeom>
        <a:solidFill>
          <a:srgbClr val="4ABE9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1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rPr>
            <a:t>Prox</a:t>
          </a:r>
        </a:p>
      </xdr:txBody>
    </xdr:sp>
    <xdr:clientData/>
  </xdr:twoCellAnchor>
  <xdr:twoCellAnchor>
    <xdr:from>
      <xdr:col>15</xdr:col>
      <xdr:colOff>19050</xdr:colOff>
      <xdr:row>4</xdr:row>
      <xdr:rowOff>9525</xdr:rowOff>
    </xdr:from>
    <xdr:to>
      <xdr:col>16</xdr:col>
      <xdr:colOff>28575</xdr:colOff>
      <xdr:row>5</xdr:row>
      <xdr:rowOff>71025</xdr:rowOff>
    </xdr:to>
    <xdr:sp macro="" textlink="">
      <xdr:nvSpPr>
        <xdr:cNvPr id="15" name="Seta: Pentágon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1B779E-4ECD-44E6-AE09-B8E7099C62DD}"/>
            </a:ext>
          </a:extLst>
        </xdr:cNvPr>
        <xdr:cNvSpPr/>
      </xdr:nvSpPr>
      <xdr:spPr>
        <a:xfrm flipH="1">
          <a:off x="9944100" y="771525"/>
          <a:ext cx="619125" cy="252000"/>
        </a:xfrm>
        <a:prstGeom prst="homePlate">
          <a:avLst/>
        </a:prstGeom>
        <a:solidFill>
          <a:srgbClr val="4ABE9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ysClr val="windowText" lastClr="000000"/>
              </a:solidFill>
              <a:latin typeface="Arial Black" panose="020B0A04020102020204" pitchFamily="34" charset="0"/>
            </a:rPr>
            <a:t>Ant.</a:t>
          </a:r>
        </a:p>
      </xdr:txBody>
    </xdr:sp>
    <xdr:clientData/>
  </xdr:twoCellAnchor>
  <xdr:twoCellAnchor editAs="absolute">
    <xdr:from>
      <xdr:col>0</xdr:col>
      <xdr:colOff>714376</xdr:colOff>
      <xdr:row>25</xdr:row>
      <xdr:rowOff>104939</xdr:rowOff>
    </xdr:from>
    <xdr:to>
      <xdr:col>0</xdr:col>
      <xdr:colOff>1059560</xdr:colOff>
      <xdr:row>27</xdr:row>
      <xdr:rowOff>54139</xdr:rowOff>
    </xdr:to>
    <xdr:pic>
      <xdr:nvPicPr>
        <xdr:cNvPr id="13" name="icon_link" descr="Linkedin White Icons – Free Download SVG, PNG, GIF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24AD869-0279-45AA-A64F-A24267CCF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6" y="4867439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333375</xdr:colOff>
      <xdr:row>24</xdr:row>
      <xdr:rowOff>0</xdr:rowOff>
    </xdr:from>
    <xdr:to>
      <xdr:col>0</xdr:col>
      <xdr:colOff>1609725</xdr:colOff>
      <xdr:row>25</xdr:row>
      <xdr:rowOff>19050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82B1E087-1655-4303-B474-5A6852D29AD7}"/>
            </a:ext>
          </a:extLst>
        </xdr:cNvPr>
        <xdr:cNvSpPr txBox="1"/>
      </xdr:nvSpPr>
      <xdr:spPr>
        <a:xfrm>
          <a:off x="333375" y="4572000"/>
          <a:ext cx="12763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Berlin Sans FB Demi" panose="020E0802020502020306" pitchFamily="34" charset="0"/>
            </a:rPr>
            <a:t>By Ailton</a:t>
          </a:r>
          <a:r>
            <a:rPr lang="pt-BR" sz="1100" b="1" baseline="0">
              <a:solidFill>
                <a:schemeClr val="bg1"/>
              </a:solidFill>
              <a:latin typeface="Berlin Sans FB Demi" panose="020E0802020502020306" pitchFamily="34" charset="0"/>
            </a:rPr>
            <a:t> Riciopo</a:t>
          </a:r>
          <a:endParaRPr lang="pt-BR" sz="1100" b="1">
            <a:solidFill>
              <a:schemeClr val="bg1"/>
            </a:solidFill>
            <a:latin typeface="Berlin Sans FB Demi" panose="020E0802020502020306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85724</xdr:rowOff>
    </xdr:from>
    <xdr:to>
      <xdr:col>18</xdr:col>
      <xdr:colOff>19050</xdr:colOff>
      <xdr:row>29</xdr:row>
      <xdr:rowOff>9526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C4FAC568-1C9D-49E0-99A4-E4099B6E4181}"/>
            </a:ext>
          </a:extLst>
        </xdr:cNvPr>
        <xdr:cNvGrpSpPr/>
      </xdr:nvGrpSpPr>
      <xdr:grpSpPr>
        <a:xfrm>
          <a:off x="123826" y="85724"/>
          <a:ext cx="11649074" cy="5448302"/>
          <a:chOff x="123826" y="85724"/>
          <a:chExt cx="11898356" cy="5356426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53E3FB7C-7308-A1EA-47DD-B1E43B5EB3E1}"/>
              </a:ext>
            </a:extLst>
          </xdr:cNvPr>
          <xdr:cNvSpPr/>
        </xdr:nvSpPr>
        <xdr:spPr>
          <a:xfrm>
            <a:off x="133351" y="85724"/>
            <a:ext cx="11888831" cy="569826"/>
          </a:xfrm>
          <a:prstGeom prst="roundRect">
            <a:avLst/>
          </a:prstGeom>
          <a:solidFill>
            <a:srgbClr val="4ABE9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Sistema</a:t>
            </a:r>
            <a:r>
              <a:rPr lang="pt-BR" sz="1800" baseline="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 de Apoio ao Preenchimento da Declaração de IRPF</a:t>
            </a:r>
            <a:endParaRPr lang="pt-BR" sz="1800">
              <a:solidFill>
                <a:sysClr val="windowText" lastClr="000000"/>
              </a:solidFill>
              <a:latin typeface="Arial Black" panose="020B0A04020102020204" pitchFamily="34" charset="0"/>
            </a:endParaRPr>
          </a:p>
        </xdr:txBody>
      </xdr: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2E6D4559-4237-72EA-6590-81ED88F5918E}"/>
              </a:ext>
            </a:extLst>
          </xdr:cNvPr>
          <xdr:cNvGrpSpPr/>
        </xdr:nvGrpSpPr>
        <xdr:grpSpPr>
          <a:xfrm>
            <a:off x="123826" y="95251"/>
            <a:ext cx="1585798" cy="5346899"/>
            <a:chOff x="123826" y="152401"/>
            <a:chExt cx="1585798" cy="480114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DC5F332-EAF9-19E0-1A61-514662D7AB14}"/>
                </a:ext>
              </a:extLst>
            </xdr:cNvPr>
            <xdr:cNvSpPr/>
          </xdr:nvSpPr>
          <xdr:spPr>
            <a:xfrm>
              <a:off x="123826" y="152401"/>
              <a:ext cx="1585798" cy="4801140"/>
            </a:xfrm>
            <a:prstGeom prst="roundRect">
              <a:avLst>
                <a:gd name="adj" fmla="val 6000"/>
              </a:avLst>
            </a:prstGeom>
            <a:solidFill>
              <a:srgbClr val="4ABE97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C4CC0CEF-0B65-9EE8-C009-F6B887B1E9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09550" y="274382"/>
              <a:ext cx="1337212" cy="1441561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209550</xdr:colOff>
      <xdr:row>10</xdr:row>
      <xdr:rowOff>19050</xdr:rowOff>
    </xdr:from>
    <xdr:to>
      <xdr:col>1</xdr:col>
      <xdr:colOff>95250</xdr:colOff>
      <xdr:row>23</xdr:row>
      <xdr:rowOff>38548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85970735-BE02-46FA-83C6-0B70284F1428}"/>
            </a:ext>
          </a:extLst>
        </xdr:cNvPr>
        <xdr:cNvGrpSpPr/>
      </xdr:nvGrpSpPr>
      <xdr:grpSpPr>
        <a:xfrm>
          <a:off x="209550" y="1924050"/>
          <a:ext cx="1562100" cy="2495998"/>
          <a:chOff x="209550" y="1428750"/>
          <a:chExt cx="1524000" cy="2495998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FCE1E92-DCF2-722D-84FA-3B3720D28FEC}"/>
              </a:ext>
            </a:extLst>
          </xdr:cNvPr>
          <xdr:cNvSpPr/>
        </xdr:nvSpPr>
        <xdr:spPr>
          <a:xfrm>
            <a:off x="209550" y="3409948"/>
            <a:ext cx="1524000" cy="514800"/>
          </a:xfrm>
          <a:prstGeom prst="roundRect">
            <a:avLst/>
          </a:prstGeom>
          <a:solidFill>
            <a:srgbClr val="3AA88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Despesas</a:t>
            </a:r>
          </a:p>
        </xdr:txBody>
      </xdr:sp>
      <xdr:sp macro="" textlink="">
        <xdr:nvSpPr>
          <xdr:cNvPr id="9" name="Retângulo: Cantos Arredondados 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6C241B9-89FB-4E77-F24B-1DA6563F0A89}"/>
              </a:ext>
            </a:extLst>
          </xdr:cNvPr>
          <xdr:cNvSpPr/>
        </xdr:nvSpPr>
        <xdr:spPr>
          <a:xfrm>
            <a:off x="209550" y="2419350"/>
            <a:ext cx="1524000" cy="514800"/>
          </a:xfrm>
          <a:prstGeom prst="roundRect">
            <a:avLst/>
          </a:prstGeom>
          <a:solidFill>
            <a:srgbClr val="2A7A6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Recebimentos de PF</a:t>
            </a: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3717DE7-CFCE-31B8-45DC-47FA9EF24C37}"/>
              </a:ext>
            </a:extLst>
          </xdr:cNvPr>
          <xdr:cNvSpPr/>
        </xdr:nvSpPr>
        <xdr:spPr>
          <a:xfrm>
            <a:off x="209550" y="2914648"/>
            <a:ext cx="1524000" cy="514800"/>
          </a:xfrm>
          <a:prstGeom prst="roundRect">
            <a:avLst/>
          </a:prstGeom>
          <a:solidFill>
            <a:srgbClr val="318F7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Saldo bancário</a:t>
            </a:r>
          </a:p>
        </xdr:txBody>
      </xdr:sp>
      <xdr:sp macro="" textlink="">
        <xdr:nvSpPr>
          <xdr:cNvPr id="11" name="Retângulo: Cantos Arredondado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0C05521-726E-C7A3-6F33-A0EE2134731F}"/>
              </a:ext>
            </a:extLst>
          </xdr:cNvPr>
          <xdr:cNvSpPr/>
        </xdr:nvSpPr>
        <xdr:spPr>
          <a:xfrm>
            <a:off x="209550" y="1428750"/>
            <a:ext cx="1524000" cy="514350"/>
          </a:xfrm>
          <a:prstGeom prst="roundRect">
            <a:avLst/>
          </a:prstGeom>
          <a:solidFill>
            <a:srgbClr val="18483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900">
                <a:latin typeface="Arial Black" panose="020B0A04020102020204" pitchFamily="34" charset="0"/>
              </a:rPr>
              <a:t>Dados Contribuinte </a:t>
            </a:r>
          </a:p>
        </xdr:txBody>
      </xdr:sp>
      <xdr:sp macro="" textlink="">
        <xdr:nvSpPr>
          <xdr:cNvPr id="12" name="Retângulo: Cantos Arredondados 1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AAB1EF4-8462-A31E-080E-68EDD6C9E521}"/>
              </a:ext>
            </a:extLst>
          </xdr:cNvPr>
          <xdr:cNvSpPr/>
        </xdr:nvSpPr>
        <xdr:spPr>
          <a:xfrm>
            <a:off x="209550" y="1924050"/>
            <a:ext cx="1524000" cy="514350"/>
          </a:xfrm>
          <a:prstGeom prst="roundRect">
            <a:avLst/>
          </a:prstGeom>
          <a:solidFill>
            <a:srgbClr val="22645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Recebimentos de PJ</a:t>
            </a:r>
          </a:p>
        </xdr:txBody>
      </xdr:sp>
    </xdr:grpSp>
    <xdr:clientData/>
  </xdr:twoCellAnchor>
  <xdr:twoCellAnchor>
    <xdr:from>
      <xdr:col>16</xdr:col>
      <xdr:colOff>123825</xdr:colOff>
      <xdr:row>4</xdr:row>
      <xdr:rowOff>9525</xdr:rowOff>
    </xdr:from>
    <xdr:to>
      <xdr:col>17</xdr:col>
      <xdr:colOff>76200</xdr:colOff>
      <xdr:row>5</xdr:row>
      <xdr:rowOff>71025</xdr:rowOff>
    </xdr:to>
    <xdr:sp macro="" textlink="">
      <xdr:nvSpPr>
        <xdr:cNvPr id="15" name="Seta: Pentágono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5AFA25-68E7-43F9-876D-18AE4119AFF0}"/>
            </a:ext>
          </a:extLst>
        </xdr:cNvPr>
        <xdr:cNvSpPr/>
      </xdr:nvSpPr>
      <xdr:spPr>
        <a:xfrm>
          <a:off x="10658475" y="771525"/>
          <a:ext cx="561975" cy="252000"/>
        </a:xfrm>
        <a:prstGeom prst="homePlate">
          <a:avLst/>
        </a:prstGeom>
        <a:solidFill>
          <a:srgbClr val="4ABE9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1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rPr>
            <a:t>Prox</a:t>
          </a:r>
        </a:p>
      </xdr:txBody>
    </xdr:sp>
    <xdr:clientData/>
  </xdr:twoCellAnchor>
  <xdr:twoCellAnchor>
    <xdr:from>
      <xdr:col>15</xdr:col>
      <xdr:colOff>19050</xdr:colOff>
      <xdr:row>4</xdr:row>
      <xdr:rowOff>9525</xdr:rowOff>
    </xdr:from>
    <xdr:to>
      <xdr:col>16</xdr:col>
      <xdr:colOff>28575</xdr:colOff>
      <xdr:row>5</xdr:row>
      <xdr:rowOff>71025</xdr:rowOff>
    </xdr:to>
    <xdr:sp macro="" textlink="">
      <xdr:nvSpPr>
        <xdr:cNvPr id="16" name="Seta: Pentágon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7D03DAD-BCF5-468A-A815-51D6C0414D27}"/>
            </a:ext>
          </a:extLst>
        </xdr:cNvPr>
        <xdr:cNvSpPr/>
      </xdr:nvSpPr>
      <xdr:spPr>
        <a:xfrm flipH="1">
          <a:off x="9944100" y="771525"/>
          <a:ext cx="619125" cy="252000"/>
        </a:xfrm>
        <a:prstGeom prst="homePlate">
          <a:avLst/>
        </a:prstGeom>
        <a:solidFill>
          <a:srgbClr val="4ABE9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ysClr val="windowText" lastClr="000000"/>
              </a:solidFill>
              <a:latin typeface="Arial Black" panose="020B0A04020102020204" pitchFamily="34" charset="0"/>
            </a:rPr>
            <a:t>Ant.</a:t>
          </a:r>
        </a:p>
      </xdr:txBody>
    </xdr:sp>
    <xdr:clientData/>
  </xdr:twoCellAnchor>
  <xdr:twoCellAnchor editAs="absolute">
    <xdr:from>
      <xdr:col>0</xdr:col>
      <xdr:colOff>714376</xdr:colOff>
      <xdr:row>25</xdr:row>
      <xdr:rowOff>104939</xdr:rowOff>
    </xdr:from>
    <xdr:to>
      <xdr:col>0</xdr:col>
      <xdr:colOff>1059560</xdr:colOff>
      <xdr:row>27</xdr:row>
      <xdr:rowOff>54139</xdr:rowOff>
    </xdr:to>
    <xdr:pic>
      <xdr:nvPicPr>
        <xdr:cNvPr id="13" name="icon_link" descr="Linkedin White Icons – Free Download SVG, PNG, 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8DC27C4-3CF5-4C4C-B63A-EDCACBEB2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6" y="4867439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333375</xdr:colOff>
      <xdr:row>24</xdr:row>
      <xdr:rowOff>0</xdr:rowOff>
    </xdr:from>
    <xdr:to>
      <xdr:col>0</xdr:col>
      <xdr:colOff>1609725</xdr:colOff>
      <xdr:row>25</xdr:row>
      <xdr:rowOff>19050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672CB09D-9888-4E6A-A32E-BAF358C433A2}"/>
            </a:ext>
          </a:extLst>
        </xdr:cNvPr>
        <xdr:cNvSpPr txBox="1"/>
      </xdr:nvSpPr>
      <xdr:spPr>
        <a:xfrm>
          <a:off x="333375" y="4572000"/>
          <a:ext cx="12763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Berlin Sans FB Demi" panose="020E0802020502020306" pitchFamily="34" charset="0"/>
            </a:rPr>
            <a:t>By Ailton</a:t>
          </a:r>
          <a:r>
            <a:rPr lang="pt-BR" sz="1100" b="1" baseline="0">
              <a:solidFill>
                <a:schemeClr val="bg1"/>
              </a:solidFill>
              <a:latin typeface="Berlin Sans FB Demi" panose="020E0802020502020306" pitchFamily="34" charset="0"/>
            </a:rPr>
            <a:t> Riciopo</a:t>
          </a:r>
          <a:endParaRPr lang="pt-BR" sz="1100" b="1">
            <a:solidFill>
              <a:schemeClr val="bg1"/>
            </a:solidFill>
            <a:latin typeface="Berlin Sans FB Demi" panose="020E0802020502020306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85724</xdr:rowOff>
    </xdr:from>
    <xdr:to>
      <xdr:col>18</xdr:col>
      <xdr:colOff>19050</xdr:colOff>
      <xdr:row>29</xdr:row>
      <xdr:rowOff>9526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9ED83EC-1E34-4149-AF64-0357D4796B4E}"/>
            </a:ext>
          </a:extLst>
        </xdr:cNvPr>
        <xdr:cNvGrpSpPr/>
      </xdr:nvGrpSpPr>
      <xdr:grpSpPr>
        <a:xfrm>
          <a:off x="123826" y="85724"/>
          <a:ext cx="11649074" cy="5448302"/>
          <a:chOff x="123826" y="85724"/>
          <a:chExt cx="11898356" cy="5356426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B1B484EA-47F0-7C0C-8A75-6D0233A55C36}"/>
              </a:ext>
            </a:extLst>
          </xdr:cNvPr>
          <xdr:cNvSpPr/>
        </xdr:nvSpPr>
        <xdr:spPr>
          <a:xfrm>
            <a:off x="133351" y="85724"/>
            <a:ext cx="11888831" cy="569826"/>
          </a:xfrm>
          <a:prstGeom prst="roundRect">
            <a:avLst/>
          </a:prstGeom>
          <a:solidFill>
            <a:srgbClr val="4ABE9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Sistema</a:t>
            </a:r>
            <a:r>
              <a:rPr lang="pt-BR" sz="1800" baseline="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 de Apoio ao Preenchimento da Declaração de IRPF</a:t>
            </a:r>
            <a:endParaRPr lang="pt-BR" sz="1800">
              <a:solidFill>
                <a:sysClr val="windowText" lastClr="000000"/>
              </a:solidFill>
              <a:latin typeface="Arial Black" panose="020B0A04020102020204" pitchFamily="34" charset="0"/>
            </a:endParaRPr>
          </a:p>
        </xdr:txBody>
      </xdr: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15319334-6CCB-5276-6FD8-A2DB04DB6E57}"/>
              </a:ext>
            </a:extLst>
          </xdr:cNvPr>
          <xdr:cNvGrpSpPr/>
        </xdr:nvGrpSpPr>
        <xdr:grpSpPr>
          <a:xfrm>
            <a:off x="123826" y="95251"/>
            <a:ext cx="1585798" cy="5346899"/>
            <a:chOff x="123826" y="152401"/>
            <a:chExt cx="1585798" cy="480114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85897D6-0083-222D-C75C-1D58AC895903}"/>
                </a:ext>
              </a:extLst>
            </xdr:cNvPr>
            <xdr:cNvSpPr/>
          </xdr:nvSpPr>
          <xdr:spPr>
            <a:xfrm>
              <a:off x="123826" y="152401"/>
              <a:ext cx="1585798" cy="4801140"/>
            </a:xfrm>
            <a:prstGeom prst="roundRect">
              <a:avLst>
                <a:gd name="adj" fmla="val 6000"/>
              </a:avLst>
            </a:prstGeom>
            <a:solidFill>
              <a:srgbClr val="4ABE97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8F40E355-FDB8-A3CE-34E3-4DC995FE34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09550" y="274382"/>
              <a:ext cx="1337212" cy="1441561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209550</xdr:colOff>
      <xdr:row>10</xdr:row>
      <xdr:rowOff>19050</xdr:rowOff>
    </xdr:from>
    <xdr:to>
      <xdr:col>1</xdr:col>
      <xdr:colOff>95250</xdr:colOff>
      <xdr:row>23</xdr:row>
      <xdr:rowOff>38548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1E69B188-7DAB-4E7F-9697-5CB91025FF69}"/>
            </a:ext>
          </a:extLst>
        </xdr:cNvPr>
        <xdr:cNvGrpSpPr/>
      </xdr:nvGrpSpPr>
      <xdr:grpSpPr>
        <a:xfrm>
          <a:off x="209550" y="1924050"/>
          <a:ext cx="1562100" cy="2495998"/>
          <a:chOff x="209550" y="1428750"/>
          <a:chExt cx="1524000" cy="2495998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E30F301-9755-1C57-4741-D1C4D7C470FC}"/>
              </a:ext>
            </a:extLst>
          </xdr:cNvPr>
          <xdr:cNvSpPr/>
        </xdr:nvSpPr>
        <xdr:spPr>
          <a:xfrm>
            <a:off x="209550" y="3409948"/>
            <a:ext cx="1524000" cy="514800"/>
          </a:xfrm>
          <a:prstGeom prst="roundRect">
            <a:avLst/>
          </a:prstGeom>
          <a:solidFill>
            <a:srgbClr val="3AA88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Despesas</a:t>
            </a:r>
          </a:p>
        </xdr:txBody>
      </xdr:sp>
      <xdr:sp macro="" textlink="">
        <xdr:nvSpPr>
          <xdr:cNvPr id="9" name="Retângulo: Cantos Arredondados 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678EFCA-BF4C-DA65-A63A-074624902986}"/>
              </a:ext>
            </a:extLst>
          </xdr:cNvPr>
          <xdr:cNvSpPr/>
        </xdr:nvSpPr>
        <xdr:spPr>
          <a:xfrm>
            <a:off x="209550" y="2419350"/>
            <a:ext cx="1524000" cy="514800"/>
          </a:xfrm>
          <a:prstGeom prst="roundRect">
            <a:avLst/>
          </a:prstGeom>
          <a:solidFill>
            <a:srgbClr val="2A7A6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Recebimentos de PF</a:t>
            </a: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90288FA-1BA5-8D86-B9AB-FDCCFA96101F}"/>
              </a:ext>
            </a:extLst>
          </xdr:cNvPr>
          <xdr:cNvSpPr/>
        </xdr:nvSpPr>
        <xdr:spPr>
          <a:xfrm>
            <a:off x="209550" y="2914648"/>
            <a:ext cx="1524000" cy="514800"/>
          </a:xfrm>
          <a:prstGeom prst="roundRect">
            <a:avLst/>
          </a:prstGeom>
          <a:solidFill>
            <a:srgbClr val="318F7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Saldo bancário</a:t>
            </a:r>
          </a:p>
        </xdr:txBody>
      </xdr:sp>
      <xdr:sp macro="" textlink="">
        <xdr:nvSpPr>
          <xdr:cNvPr id="11" name="Retângulo: Cantos Arredondado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D200A557-52A5-FCF7-A951-82DA9BC047D3}"/>
              </a:ext>
            </a:extLst>
          </xdr:cNvPr>
          <xdr:cNvSpPr/>
        </xdr:nvSpPr>
        <xdr:spPr>
          <a:xfrm>
            <a:off x="209550" y="1428750"/>
            <a:ext cx="1524000" cy="514350"/>
          </a:xfrm>
          <a:prstGeom prst="roundRect">
            <a:avLst/>
          </a:prstGeom>
          <a:solidFill>
            <a:srgbClr val="18483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900">
                <a:latin typeface="Arial Black" panose="020B0A04020102020204" pitchFamily="34" charset="0"/>
              </a:rPr>
              <a:t>Dados Contribuinte </a:t>
            </a:r>
          </a:p>
        </xdr:txBody>
      </xdr:sp>
      <xdr:sp macro="" textlink="">
        <xdr:nvSpPr>
          <xdr:cNvPr id="12" name="Retângulo: Cantos Arredondados 1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F5CDD59-E9EA-BA9A-6445-3D6AC748D9A7}"/>
              </a:ext>
            </a:extLst>
          </xdr:cNvPr>
          <xdr:cNvSpPr/>
        </xdr:nvSpPr>
        <xdr:spPr>
          <a:xfrm>
            <a:off x="209550" y="1924050"/>
            <a:ext cx="1524000" cy="514350"/>
          </a:xfrm>
          <a:prstGeom prst="roundRect">
            <a:avLst/>
          </a:prstGeom>
          <a:solidFill>
            <a:srgbClr val="22645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Recebimentos de PJ</a:t>
            </a:r>
          </a:p>
        </xdr:txBody>
      </xdr:sp>
    </xdr:grpSp>
    <xdr:clientData/>
  </xdr:twoCellAnchor>
  <xdr:twoCellAnchor>
    <xdr:from>
      <xdr:col>15</xdr:col>
      <xdr:colOff>19050</xdr:colOff>
      <xdr:row>4</xdr:row>
      <xdr:rowOff>9525</xdr:rowOff>
    </xdr:from>
    <xdr:to>
      <xdr:col>16</xdr:col>
      <xdr:colOff>28575</xdr:colOff>
      <xdr:row>5</xdr:row>
      <xdr:rowOff>71025</xdr:rowOff>
    </xdr:to>
    <xdr:sp macro="" textlink="">
      <xdr:nvSpPr>
        <xdr:cNvPr id="36" name="Seta: Pentágono 3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1249A0-DD70-416F-8069-0325E59C436B}"/>
            </a:ext>
          </a:extLst>
        </xdr:cNvPr>
        <xdr:cNvSpPr/>
      </xdr:nvSpPr>
      <xdr:spPr>
        <a:xfrm flipH="1">
          <a:off x="9944100" y="771525"/>
          <a:ext cx="619125" cy="252000"/>
        </a:xfrm>
        <a:prstGeom prst="homePlate">
          <a:avLst/>
        </a:prstGeom>
        <a:solidFill>
          <a:srgbClr val="4ABE97"/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Ant.</a:t>
          </a:r>
        </a:p>
      </xdr:txBody>
    </xdr:sp>
    <xdr:clientData/>
  </xdr:twoCellAnchor>
  <xdr:twoCellAnchor>
    <xdr:from>
      <xdr:col>16</xdr:col>
      <xdr:colOff>123825</xdr:colOff>
      <xdr:row>4</xdr:row>
      <xdr:rowOff>9525</xdr:rowOff>
    </xdr:from>
    <xdr:to>
      <xdr:col>17</xdr:col>
      <xdr:colOff>76200</xdr:colOff>
      <xdr:row>5</xdr:row>
      <xdr:rowOff>71025</xdr:rowOff>
    </xdr:to>
    <xdr:sp macro="" textlink="">
      <xdr:nvSpPr>
        <xdr:cNvPr id="37" name="Seta: Pentágono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5AB8F07-8B25-49BE-9971-9FC46F299EBA}"/>
            </a:ext>
          </a:extLst>
        </xdr:cNvPr>
        <xdr:cNvSpPr/>
      </xdr:nvSpPr>
      <xdr:spPr>
        <a:xfrm>
          <a:off x="10658475" y="771525"/>
          <a:ext cx="561975" cy="252000"/>
        </a:xfrm>
        <a:prstGeom prst="homePlate">
          <a:avLst/>
        </a:prstGeom>
        <a:solidFill>
          <a:srgbClr val="4ABE97"/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Prox</a:t>
          </a:r>
        </a:p>
      </xdr:txBody>
    </xdr:sp>
    <xdr:clientData/>
  </xdr:twoCellAnchor>
  <xdr:twoCellAnchor>
    <xdr:from>
      <xdr:col>15</xdr:col>
      <xdr:colOff>19050</xdr:colOff>
      <xdr:row>4</xdr:row>
      <xdr:rowOff>9525</xdr:rowOff>
    </xdr:from>
    <xdr:to>
      <xdr:col>16</xdr:col>
      <xdr:colOff>28575</xdr:colOff>
      <xdr:row>5</xdr:row>
      <xdr:rowOff>71025</xdr:rowOff>
    </xdr:to>
    <xdr:sp macro="" textlink="">
      <xdr:nvSpPr>
        <xdr:cNvPr id="38" name="Seta: Pentágono 3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F3D095-3980-4492-9FEA-29042FF2F4B0}"/>
            </a:ext>
          </a:extLst>
        </xdr:cNvPr>
        <xdr:cNvSpPr/>
      </xdr:nvSpPr>
      <xdr:spPr>
        <a:xfrm flipH="1">
          <a:off x="9944100" y="771525"/>
          <a:ext cx="619125" cy="252000"/>
        </a:xfrm>
        <a:prstGeom prst="homePlate">
          <a:avLst/>
        </a:prstGeom>
        <a:solidFill>
          <a:srgbClr val="4ABE97"/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Ant.</a:t>
          </a:r>
        </a:p>
      </xdr:txBody>
    </xdr:sp>
    <xdr:clientData/>
  </xdr:twoCellAnchor>
  <xdr:twoCellAnchor editAs="absolute">
    <xdr:from>
      <xdr:col>0</xdr:col>
      <xdr:colOff>714377</xdr:colOff>
      <xdr:row>25</xdr:row>
      <xdr:rowOff>104938</xdr:rowOff>
    </xdr:from>
    <xdr:to>
      <xdr:col>0</xdr:col>
      <xdr:colOff>1059561</xdr:colOff>
      <xdr:row>27</xdr:row>
      <xdr:rowOff>54138</xdr:rowOff>
    </xdr:to>
    <xdr:pic>
      <xdr:nvPicPr>
        <xdr:cNvPr id="13" name="icon_link" descr="Linkedin White Icons – Free Download SVG, PNG, 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DD01DF0-7964-4AB5-B001-1764B0B88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7" y="4867438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333376</xdr:colOff>
      <xdr:row>23</xdr:row>
      <xdr:rowOff>190499</xdr:rowOff>
    </xdr:from>
    <xdr:to>
      <xdr:col>0</xdr:col>
      <xdr:colOff>1609726</xdr:colOff>
      <xdr:row>25</xdr:row>
      <xdr:rowOff>19049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5A18BD0C-07CC-4363-AA38-E7B7EF3D044A}"/>
            </a:ext>
          </a:extLst>
        </xdr:cNvPr>
        <xdr:cNvSpPr txBox="1"/>
      </xdr:nvSpPr>
      <xdr:spPr>
        <a:xfrm>
          <a:off x="333376" y="4571999"/>
          <a:ext cx="12763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Berlin Sans FB Demi" panose="020E0802020502020306" pitchFamily="34" charset="0"/>
            </a:rPr>
            <a:t>By Ailton</a:t>
          </a:r>
          <a:r>
            <a:rPr lang="pt-BR" sz="1100" b="1" baseline="0">
              <a:solidFill>
                <a:schemeClr val="bg1"/>
              </a:solidFill>
              <a:latin typeface="Berlin Sans FB Demi" panose="020E0802020502020306" pitchFamily="34" charset="0"/>
            </a:rPr>
            <a:t> Riciopo</a:t>
          </a:r>
          <a:endParaRPr lang="pt-BR" sz="1100" b="1">
            <a:solidFill>
              <a:schemeClr val="bg1"/>
            </a:solidFill>
            <a:latin typeface="Berlin Sans FB Demi" panose="020E0802020502020306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85725</xdr:rowOff>
    </xdr:from>
    <xdr:to>
      <xdr:col>18</xdr:col>
      <xdr:colOff>19249</xdr:colOff>
      <xdr:row>3</xdr:row>
      <xdr:rowOff>93825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87341296-AE84-4DFD-AD48-E1B2C084130A}"/>
            </a:ext>
          </a:extLst>
        </xdr:cNvPr>
        <xdr:cNvSpPr/>
      </xdr:nvSpPr>
      <xdr:spPr>
        <a:xfrm>
          <a:off x="133350" y="85725"/>
          <a:ext cx="11639749" cy="579600"/>
        </a:xfrm>
        <a:prstGeom prst="roundRect">
          <a:avLst/>
        </a:prstGeom>
        <a:solidFill>
          <a:srgbClr val="4ABE97"/>
        </a:soli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Sistema de Apoio ao Preenchimento da Declaração de IRPF</a:t>
          </a:r>
        </a:p>
      </xdr:txBody>
    </xdr:sp>
    <xdr:clientData/>
  </xdr:twoCellAnchor>
  <xdr:twoCellAnchor>
    <xdr:from>
      <xdr:col>0</xdr:col>
      <xdr:colOff>123826</xdr:colOff>
      <xdr:row>0</xdr:row>
      <xdr:rowOff>95414</xdr:rowOff>
    </xdr:from>
    <xdr:to>
      <xdr:col>1</xdr:col>
      <xdr:colOff>0</xdr:colOff>
      <xdr:row>29</xdr:row>
      <xdr:rowOff>9526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7A603B42-1709-2EB3-C101-56F6F5AF93D0}"/>
            </a:ext>
          </a:extLst>
        </xdr:cNvPr>
        <xdr:cNvGrpSpPr/>
      </xdr:nvGrpSpPr>
      <xdr:grpSpPr>
        <a:xfrm>
          <a:off x="123826" y="95414"/>
          <a:ext cx="1552574" cy="5438612"/>
          <a:chOff x="123826" y="152401"/>
          <a:chExt cx="1585798" cy="4801140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F88F9FDD-3C13-68A0-7A4D-E7A29054EFE3}"/>
              </a:ext>
            </a:extLst>
          </xdr:cNvPr>
          <xdr:cNvSpPr/>
        </xdr:nvSpPr>
        <xdr:spPr>
          <a:xfrm>
            <a:off x="123826" y="152401"/>
            <a:ext cx="1585798" cy="4801140"/>
          </a:xfrm>
          <a:prstGeom prst="roundRect">
            <a:avLst>
              <a:gd name="adj" fmla="val 6000"/>
            </a:avLst>
          </a:prstGeom>
          <a:solidFill>
            <a:srgbClr val="4ABE9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664A7A5B-07F6-C9F2-F431-3FDBA94DC7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09550" y="274382"/>
            <a:ext cx="1337212" cy="1441561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209550</xdr:colOff>
      <xdr:row>10</xdr:row>
      <xdr:rowOff>19050</xdr:rowOff>
    </xdr:from>
    <xdr:to>
      <xdr:col>1</xdr:col>
      <xdr:colOff>95250</xdr:colOff>
      <xdr:row>23</xdr:row>
      <xdr:rowOff>38548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4F10AC71-2324-4186-8E6C-54EFB7C1BFE4}"/>
            </a:ext>
          </a:extLst>
        </xdr:cNvPr>
        <xdr:cNvGrpSpPr/>
      </xdr:nvGrpSpPr>
      <xdr:grpSpPr>
        <a:xfrm>
          <a:off x="209550" y="1924050"/>
          <a:ext cx="1562100" cy="2495998"/>
          <a:chOff x="209550" y="1428750"/>
          <a:chExt cx="1524000" cy="2495998"/>
        </a:xfrm>
      </xdr:grpSpPr>
      <xdr:sp macro="" textlink="">
        <xdr:nvSpPr>
          <xdr:cNvPr id="19" name="Retângulo: Cantos Arredondados 1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ACC6CC4-382F-894E-4A73-75124520094B}"/>
              </a:ext>
            </a:extLst>
          </xdr:cNvPr>
          <xdr:cNvSpPr/>
        </xdr:nvSpPr>
        <xdr:spPr>
          <a:xfrm>
            <a:off x="209550" y="3409948"/>
            <a:ext cx="1524000" cy="514800"/>
          </a:xfrm>
          <a:prstGeom prst="roundRect">
            <a:avLst/>
          </a:prstGeom>
          <a:solidFill>
            <a:srgbClr val="3AA88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Despesas</a:t>
            </a:r>
          </a:p>
        </xdr:txBody>
      </xdr:sp>
      <xdr:sp macro="" textlink="">
        <xdr:nvSpPr>
          <xdr:cNvPr id="32" name="Retângulo: Cantos Arredondados 3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36520DF-9677-6E48-8329-FB7BB87B958F}"/>
              </a:ext>
            </a:extLst>
          </xdr:cNvPr>
          <xdr:cNvSpPr/>
        </xdr:nvSpPr>
        <xdr:spPr>
          <a:xfrm>
            <a:off x="209550" y="2419350"/>
            <a:ext cx="1524000" cy="514800"/>
          </a:xfrm>
          <a:prstGeom prst="roundRect">
            <a:avLst/>
          </a:prstGeom>
          <a:solidFill>
            <a:srgbClr val="2A7A6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Recebimentos de PF</a:t>
            </a:r>
          </a:p>
        </xdr:txBody>
      </xdr:sp>
      <xdr:sp macro="" textlink="">
        <xdr:nvSpPr>
          <xdr:cNvPr id="33" name="Retângulo: Cantos Arredondados 3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107F5A5-9D74-52E9-929A-FFBF6901A5ED}"/>
              </a:ext>
            </a:extLst>
          </xdr:cNvPr>
          <xdr:cNvSpPr/>
        </xdr:nvSpPr>
        <xdr:spPr>
          <a:xfrm>
            <a:off x="209550" y="2914648"/>
            <a:ext cx="1524000" cy="514800"/>
          </a:xfrm>
          <a:prstGeom prst="roundRect">
            <a:avLst/>
          </a:prstGeom>
          <a:solidFill>
            <a:srgbClr val="318F7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Saldo bancário</a:t>
            </a:r>
          </a:p>
        </xdr:txBody>
      </xdr:sp>
      <xdr:sp macro="" textlink="">
        <xdr:nvSpPr>
          <xdr:cNvPr id="34" name="Retângulo: Cantos Arredondados 33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4DB4402-7D8A-340C-A5FD-418A415C4898}"/>
              </a:ext>
            </a:extLst>
          </xdr:cNvPr>
          <xdr:cNvSpPr/>
        </xdr:nvSpPr>
        <xdr:spPr>
          <a:xfrm>
            <a:off x="209550" y="1428750"/>
            <a:ext cx="1524000" cy="514350"/>
          </a:xfrm>
          <a:prstGeom prst="roundRect">
            <a:avLst/>
          </a:prstGeom>
          <a:solidFill>
            <a:srgbClr val="18483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900">
                <a:latin typeface="Arial Black" panose="020B0A04020102020204" pitchFamily="34" charset="0"/>
              </a:rPr>
              <a:t>Dados Contribuinte </a:t>
            </a:r>
          </a:p>
        </xdr:txBody>
      </xdr:sp>
      <xdr:sp macro="" textlink="">
        <xdr:nvSpPr>
          <xdr:cNvPr id="35" name="Retângulo: Cantos Arredondados 34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E4CD4EA8-BB28-6D2B-08A9-CCAD23EA79CB}"/>
              </a:ext>
            </a:extLst>
          </xdr:cNvPr>
          <xdr:cNvSpPr/>
        </xdr:nvSpPr>
        <xdr:spPr>
          <a:xfrm>
            <a:off x="209550" y="1924050"/>
            <a:ext cx="1524000" cy="514350"/>
          </a:xfrm>
          <a:prstGeom prst="roundRect">
            <a:avLst/>
          </a:prstGeom>
          <a:solidFill>
            <a:srgbClr val="22645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900">
                <a:solidFill>
                  <a:schemeClr val="lt1"/>
                </a:solidFill>
                <a:latin typeface="Arial Black" panose="020B0A04020102020204" pitchFamily="34" charset="0"/>
                <a:ea typeface="+mn-ea"/>
                <a:cs typeface="+mn-cs"/>
              </a:rPr>
              <a:t>Recebimentos de PJ</a:t>
            </a:r>
          </a:p>
        </xdr:txBody>
      </xdr:sp>
    </xdr:grpSp>
    <xdr:clientData/>
  </xdr:twoCellAnchor>
  <xdr:twoCellAnchor>
    <xdr:from>
      <xdr:col>15</xdr:col>
      <xdr:colOff>19050</xdr:colOff>
      <xdr:row>4</xdr:row>
      <xdr:rowOff>0</xdr:rowOff>
    </xdr:from>
    <xdr:to>
      <xdr:col>16</xdr:col>
      <xdr:colOff>28575</xdr:colOff>
      <xdr:row>5</xdr:row>
      <xdr:rowOff>61500</xdr:rowOff>
    </xdr:to>
    <xdr:sp macro="" textlink="">
      <xdr:nvSpPr>
        <xdr:cNvPr id="42" name="Seta: Pentágono 4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762624-3BF7-4B81-B7E9-9109CB6CE4CD}"/>
            </a:ext>
          </a:extLst>
        </xdr:cNvPr>
        <xdr:cNvSpPr/>
      </xdr:nvSpPr>
      <xdr:spPr>
        <a:xfrm flipH="1">
          <a:off x="9944100" y="762000"/>
          <a:ext cx="619125" cy="252000"/>
        </a:xfrm>
        <a:prstGeom prst="homePlate">
          <a:avLst/>
        </a:prstGeom>
        <a:solidFill>
          <a:srgbClr val="4ABE9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ysClr val="windowText" lastClr="000000"/>
              </a:solidFill>
              <a:latin typeface="Arial Black" panose="020B0A04020102020204" pitchFamily="34" charset="0"/>
            </a:rPr>
            <a:t>Ant.</a:t>
          </a:r>
        </a:p>
      </xdr:txBody>
    </xdr:sp>
    <xdr:clientData/>
  </xdr:twoCellAnchor>
  <xdr:twoCellAnchor editAs="absolute">
    <xdr:from>
      <xdr:col>0</xdr:col>
      <xdr:colOff>714377</xdr:colOff>
      <xdr:row>25</xdr:row>
      <xdr:rowOff>105103</xdr:rowOff>
    </xdr:from>
    <xdr:to>
      <xdr:col>0</xdr:col>
      <xdr:colOff>1059561</xdr:colOff>
      <xdr:row>27</xdr:row>
      <xdr:rowOff>54303</xdr:rowOff>
    </xdr:to>
    <xdr:pic>
      <xdr:nvPicPr>
        <xdr:cNvPr id="4" name="icon_link" descr="Linkedin White Icons – Free Download SVG, PNG, GIF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88B94F-6229-4828-B796-A28446264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7" y="4867603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333376</xdr:colOff>
      <xdr:row>24</xdr:row>
      <xdr:rowOff>164</xdr:rowOff>
    </xdr:from>
    <xdr:to>
      <xdr:col>0</xdr:col>
      <xdr:colOff>1609726</xdr:colOff>
      <xdr:row>25</xdr:row>
      <xdr:rowOff>19214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3E63BA7-C2D9-460A-BA8F-98F670F9AA53}"/>
            </a:ext>
          </a:extLst>
        </xdr:cNvPr>
        <xdr:cNvSpPr txBox="1"/>
      </xdr:nvSpPr>
      <xdr:spPr>
        <a:xfrm>
          <a:off x="333376" y="4572164"/>
          <a:ext cx="12763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Berlin Sans FB Demi" panose="020E0802020502020306" pitchFamily="34" charset="0"/>
            </a:rPr>
            <a:t>By Ailton</a:t>
          </a:r>
          <a:r>
            <a:rPr lang="pt-BR" sz="1100" b="1" baseline="0">
              <a:solidFill>
                <a:schemeClr val="bg1"/>
              </a:solidFill>
              <a:latin typeface="Berlin Sans FB Demi" panose="020E0802020502020306" pitchFamily="34" charset="0"/>
            </a:rPr>
            <a:t> Riciopo</a:t>
          </a:r>
          <a:endParaRPr lang="pt-BR" sz="1100" b="1">
            <a:solidFill>
              <a:schemeClr val="bg1"/>
            </a:solidFill>
            <a:latin typeface="Berlin Sans FB Demi" panose="020E0802020502020306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ne_silva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23BA-50A6-4E32-81D2-5EF795FDD341}">
  <dimension ref="B1:R29"/>
  <sheetViews>
    <sheetView showGridLines="0" showRowColHeaders="0" tabSelected="1" zoomScaleNormal="100" workbookViewId="0">
      <selection activeCell="J8" sqref="J8:Q8"/>
    </sheetView>
  </sheetViews>
  <sheetFormatPr defaultRowHeight="15" x14ac:dyDescent="0.25"/>
  <cols>
    <col min="1" max="1" width="25.140625" customWidth="1"/>
    <col min="2" max="2" width="4.85546875" customWidth="1"/>
    <col min="18" max="18" width="9.140625" customWidth="1"/>
  </cols>
  <sheetData>
    <row r="1" spans="2:18" ht="15" customHeight="1" x14ac:dyDescent="0.25"/>
    <row r="2" spans="2:18" ht="15" customHeight="1" x14ac:dyDescent="0.25"/>
    <row r="3" spans="2:18" ht="15" customHeight="1" x14ac:dyDescent="0.25"/>
    <row r="4" spans="2:18" ht="15" customHeight="1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15" customHeight="1" x14ac:dyDescent="0.3">
      <c r="B5" s="6"/>
      <c r="C5" s="45" t="s">
        <v>0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6"/>
    </row>
    <row r="6" spans="2:18" ht="15" customHeight="1" x14ac:dyDescent="0.3">
      <c r="B6" s="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6"/>
    </row>
    <row r="7" spans="2:18" ht="15" customHeight="1" x14ac:dyDescent="0.3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15" customHeight="1" x14ac:dyDescent="0.3">
      <c r="B8" s="6"/>
      <c r="C8" s="44" t="s">
        <v>1</v>
      </c>
      <c r="D8" s="44"/>
      <c r="E8" s="44"/>
      <c r="F8" s="44"/>
      <c r="G8" s="44"/>
      <c r="H8" s="44"/>
      <c r="I8" s="44"/>
      <c r="J8" s="37" t="s">
        <v>108</v>
      </c>
      <c r="K8" s="37"/>
      <c r="L8" s="37"/>
      <c r="M8" s="37"/>
      <c r="N8" s="37"/>
      <c r="O8" s="37"/>
      <c r="P8" s="37"/>
      <c r="Q8" s="37"/>
      <c r="R8" s="6"/>
    </row>
    <row r="9" spans="2:18" ht="15" customHeight="1" x14ac:dyDescent="0.3">
      <c r="B9" s="6"/>
      <c r="C9" s="7"/>
      <c r="D9" s="7"/>
      <c r="E9" s="7"/>
      <c r="F9" s="7"/>
      <c r="G9" s="7"/>
      <c r="H9" s="7"/>
      <c r="I9" s="7"/>
      <c r="J9" s="10"/>
      <c r="K9" s="10"/>
      <c r="L9" s="10"/>
      <c r="M9" s="10"/>
      <c r="N9" s="10"/>
      <c r="O9" s="10"/>
      <c r="P9" s="10"/>
      <c r="Q9" s="10"/>
      <c r="R9" s="6"/>
    </row>
    <row r="10" spans="2:18" ht="15" customHeight="1" x14ac:dyDescent="0.3">
      <c r="B10" s="6"/>
      <c r="C10" s="44" t="s">
        <v>2</v>
      </c>
      <c r="D10" s="44"/>
      <c r="E10" s="44"/>
      <c r="F10" s="44"/>
      <c r="G10" s="44"/>
      <c r="H10" s="44"/>
      <c r="I10" s="44"/>
      <c r="J10" s="38">
        <v>0</v>
      </c>
      <c r="K10" s="38"/>
      <c r="L10" s="10"/>
      <c r="M10" s="10"/>
      <c r="N10" s="10"/>
      <c r="O10" s="10"/>
      <c r="P10" s="10"/>
      <c r="Q10" s="10"/>
      <c r="R10" s="6"/>
    </row>
    <row r="11" spans="2:18" ht="15" customHeight="1" x14ac:dyDescent="0.3">
      <c r="B11" s="6"/>
      <c r="C11" s="7"/>
      <c r="D11" s="7"/>
      <c r="E11" s="7"/>
      <c r="F11" s="7"/>
      <c r="G11" s="7"/>
      <c r="H11" s="7"/>
      <c r="I11" s="7"/>
      <c r="J11" s="10"/>
      <c r="K11" s="10"/>
      <c r="L11" s="10"/>
      <c r="M11" s="10"/>
      <c r="N11" s="10"/>
      <c r="O11" s="10"/>
      <c r="P11" s="10"/>
      <c r="Q11" s="10"/>
      <c r="R11" s="6"/>
    </row>
    <row r="12" spans="2:18" ht="15" customHeight="1" x14ac:dyDescent="0.3">
      <c r="B12" s="6"/>
      <c r="C12" s="44" t="s">
        <v>3</v>
      </c>
      <c r="D12" s="44"/>
      <c r="E12" s="44"/>
      <c r="F12" s="44"/>
      <c r="G12" s="44"/>
      <c r="H12" s="44"/>
      <c r="I12" s="44"/>
      <c r="J12" s="46">
        <v>38411</v>
      </c>
      <c r="K12" s="46"/>
      <c r="L12" s="10"/>
      <c r="M12" s="10"/>
      <c r="N12" s="10"/>
      <c r="O12" s="10"/>
      <c r="P12" s="10"/>
      <c r="Q12" s="10"/>
      <c r="R12" s="6"/>
    </row>
    <row r="13" spans="2:18" ht="15" customHeight="1" x14ac:dyDescent="0.3">
      <c r="B13" s="6"/>
      <c r="C13" s="7"/>
      <c r="D13" s="7"/>
      <c r="E13" s="7"/>
      <c r="F13" s="7"/>
      <c r="G13" s="7"/>
      <c r="H13" s="7"/>
      <c r="I13" s="7"/>
      <c r="J13" s="10"/>
      <c r="K13" s="10"/>
      <c r="L13" s="10"/>
      <c r="M13" s="10"/>
      <c r="N13" s="10"/>
      <c r="O13" s="10"/>
      <c r="P13" s="10"/>
      <c r="Q13" s="10"/>
      <c r="R13" s="6"/>
    </row>
    <row r="14" spans="2:18" ht="15" customHeight="1" x14ac:dyDescent="0.3">
      <c r="B14" s="6"/>
      <c r="C14" s="44" t="s">
        <v>4</v>
      </c>
      <c r="D14" s="44"/>
      <c r="E14" s="44"/>
      <c r="F14" s="44"/>
      <c r="G14" s="44"/>
      <c r="H14" s="44"/>
      <c r="I14" s="44"/>
      <c r="J14" s="37" t="s">
        <v>12</v>
      </c>
      <c r="K14" s="37"/>
      <c r="L14" s="37"/>
      <c r="M14" s="37"/>
      <c r="N14" s="37"/>
      <c r="O14" s="37"/>
      <c r="P14" s="37"/>
      <c r="Q14" s="37"/>
      <c r="R14" s="6"/>
    </row>
    <row r="15" spans="2:18" ht="15" customHeight="1" x14ac:dyDescent="0.3">
      <c r="B15" s="6"/>
      <c r="C15" s="7"/>
      <c r="D15" s="7"/>
      <c r="E15" s="7"/>
      <c r="F15" s="7"/>
      <c r="G15" s="7"/>
      <c r="H15" s="7"/>
      <c r="I15" s="7"/>
      <c r="J15" s="10"/>
      <c r="K15" s="10"/>
      <c r="L15" s="10"/>
      <c r="M15" s="10"/>
      <c r="N15" s="10"/>
      <c r="O15" s="10"/>
      <c r="P15" s="10"/>
      <c r="Q15" s="10"/>
      <c r="R15" s="6"/>
    </row>
    <row r="16" spans="2:18" ht="15" customHeight="1" x14ac:dyDescent="0.3">
      <c r="B16" s="6"/>
      <c r="C16" s="44" t="s">
        <v>9</v>
      </c>
      <c r="D16" s="44"/>
      <c r="E16" s="44"/>
      <c r="F16" s="44"/>
      <c r="G16" s="44"/>
      <c r="H16" s="44"/>
      <c r="I16" s="44"/>
      <c r="J16" s="39">
        <v>1111111</v>
      </c>
      <c r="K16" s="39"/>
      <c r="L16" s="10"/>
      <c r="M16" s="10"/>
      <c r="N16" s="10"/>
      <c r="O16" s="10"/>
      <c r="P16" s="10"/>
      <c r="Q16" s="10"/>
      <c r="R16" s="6"/>
    </row>
    <row r="17" spans="2:18" ht="15" customHeight="1" x14ac:dyDescent="0.3">
      <c r="B17" s="6"/>
      <c r="C17" s="7"/>
      <c r="D17" s="7"/>
      <c r="E17" s="7"/>
      <c r="F17" s="7"/>
      <c r="G17" s="7"/>
      <c r="H17" s="7"/>
      <c r="I17" s="7"/>
      <c r="J17" s="10"/>
      <c r="K17" s="10"/>
      <c r="L17" s="10"/>
      <c r="M17" s="10"/>
      <c r="N17" s="10"/>
      <c r="O17" s="10"/>
      <c r="P17" s="10"/>
      <c r="Q17" s="10"/>
      <c r="R17" s="6"/>
    </row>
    <row r="18" spans="2:18" ht="15" customHeight="1" x14ac:dyDescent="0.3">
      <c r="B18" s="6"/>
      <c r="C18" s="44" t="s">
        <v>5</v>
      </c>
      <c r="D18" s="44"/>
      <c r="E18" s="44"/>
      <c r="F18" s="44"/>
      <c r="G18" s="44"/>
      <c r="H18" s="44"/>
      <c r="I18" s="44"/>
      <c r="J18" s="40">
        <v>1132130001</v>
      </c>
      <c r="K18" s="40"/>
      <c r="L18" s="10"/>
      <c r="M18" s="10"/>
      <c r="N18" s="10"/>
      <c r="O18" s="10"/>
      <c r="P18" s="10"/>
      <c r="Q18" s="10"/>
      <c r="R18" s="6"/>
    </row>
    <row r="19" spans="2:18" ht="15" customHeight="1" x14ac:dyDescent="0.3">
      <c r="B19" s="6"/>
      <c r="C19" s="7"/>
      <c r="D19" s="7"/>
      <c r="E19" s="7"/>
      <c r="F19" s="7"/>
      <c r="G19" s="7"/>
      <c r="H19" s="7"/>
      <c r="I19" s="7"/>
      <c r="J19" s="10"/>
      <c r="K19" s="10"/>
      <c r="L19" s="10"/>
      <c r="M19" s="10"/>
      <c r="N19" s="10"/>
      <c r="O19" s="10"/>
      <c r="P19" s="10"/>
      <c r="Q19" s="10"/>
      <c r="R19" s="6"/>
    </row>
    <row r="20" spans="2:18" ht="15" customHeight="1" x14ac:dyDescent="0.3">
      <c r="B20" s="6"/>
      <c r="C20" s="44" t="s">
        <v>7</v>
      </c>
      <c r="D20" s="44"/>
      <c r="E20" s="44"/>
      <c r="F20" s="44"/>
      <c r="G20" s="44"/>
      <c r="H20" s="44"/>
      <c r="I20" s="44"/>
      <c r="J20" s="41">
        <v>11999998888</v>
      </c>
      <c r="K20" s="41"/>
      <c r="L20" s="10"/>
      <c r="M20" s="10"/>
      <c r="N20" s="10"/>
      <c r="O20" s="10"/>
      <c r="P20" s="10"/>
      <c r="Q20" s="10"/>
      <c r="R20" s="6"/>
    </row>
    <row r="21" spans="2:18" ht="15" customHeight="1" x14ac:dyDescent="0.3">
      <c r="B21" s="6"/>
      <c r="C21" s="7"/>
      <c r="D21" s="7"/>
      <c r="E21" s="7"/>
      <c r="F21" s="7"/>
      <c r="G21" s="7"/>
      <c r="H21" s="7"/>
      <c r="I21" s="7"/>
      <c r="J21" s="10"/>
      <c r="K21" s="10"/>
      <c r="L21" s="10"/>
      <c r="M21" s="10"/>
      <c r="N21" s="10"/>
      <c r="O21" s="10"/>
      <c r="P21" s="10"/>
      <c r="Q21" s="10"/>
      <c r="R21" s="6"/>
    </row>
    <row r="22" spans="2:18" ht="15" customHeight="1" x14ac:dyDescent="0.3">
      <c r="B22" s="6"/>
      <c r="C22" s="44" t="s">
        <v>6</v>
      </c>
      <c r="D22" s="44"/>
      <c r="E22" s="44"/>
      <c r="F22" s="44"/>
      <c r="G22" s="44"/>
      <c r="H22" s="44"/>
      <c r="I22" s="44"/>
      <c r="J22" s="42" t="s">
        <v>109</v>
      </c>
      <c r="K22" s="43"/>
      <c r="L22" s="43"/>
      <c r="M22" s="43"/>
      <c r="N22" s="10"/>
      <c r="O22" s="10"/>
      <c r="P22" s="10"/>
      <c r="Q22" s="10"/>
      <c r="R22" s="6"/>
    </row>
    <row r="23" spans="2:18" ht="15" customHeight="1" x14ac:dyDescent="0.3">
      <c r="B23" s="6"/>
      <c r="C23" s="7"/>
      <c r="D23" s="7"/>
      <c r="E23" s="7"/>
      <c r="F23" s="7"/>
      <c r="G23" s="7"/>
      <c r="H23" s="7"/>
      <c r="I23" s="7"/>
      <c r="J23" s="10"/>
      <c r="K23" s="10"/>
      <c r="L23" s="10"/>
      <c r="M23" s="10"/>
      <c r="N23" s="10"/>
      <c r="O23" s="10"/>
      <c r="P23" s="10"/>
      <c r="Q23" s="10"/>
      <c r="R23" s="6"/>
    </row>
    <row r="24" spans="2:18" ht="15" customHeight="1" x14ac:dyDescent="0.3">
      <c r="B24" s="6"/>
      <c r="C24" s="44" t="s">
        <v>10</v>
      </c>
      <c r="D24" s="44"/>
      <c r="E24" s="44"/>
      <c r="F24" s="44"/>
      <c r="G24" s="44"/>
      <c r="H24" s="44"/>
      <c r="I24" s="44"/>
      <c r="J24" s="37" t="s">
        <v>13</v>
      </c>
      <c r="K24" s="37"/>
      <c r="L24" s="37"/>
      <c r="M24" s="37"/>
      <c r="N24" s="37"/>
      <c r="O24" s="37"/>
      <c r="P24" s="37"/>
      <c r="Q24" s="37"/>
      <c r="R24" s="6"/>
    </row>
    <row r="25" spans="2:18" ht="15" customHeight="1" x14ac:dyDescent="0.3">
      <c r="B25" s="6"/>
      <c r="C25" s="7"/>
      <c r="D25" s="7"/>
      <c r="E25" s="7"/>
      <c r="F25" s="7"/>
      <c r="G25" s="7"/>
      <c r="H25" s="7"/>
      <c r="I25" s="7"/>
      <c r="J25" s="10"/>
      <c r="K25" s="10"/>
      <c r="L25" s="10"/>
      <c r="M25" s="10"/>
      <c r="N25" s="10"/>
      <c r="O25" s="10"/>
      <c r="P25" s="10"/>
      <c r="Q25" s="10"/>
      <c r="R25" s="6"/>
    </row>
    <row r="26" spans="2:18" ht="15" customHeight="1" x14ac:dyDescent="0.3">
      <c r="B26" s="6"/>
      <c r="C26" s="44" t="s">
        <v>11</v>
      </c>
      <c r="D26" s="44"/>
      <c r="E26" s="44"/>
      <c r="F26" s="44"/>
      <c r="G26" s="44"/>
      <c r="H26" s="44"/>
      <c r="I26" s="44"/>
      <c r="J26" s="38">
        <v>11111111122</v>
      </c>
      <c r="K26" s="38"/>
      <c r="L26" s="10"/>
      <c r="M26" s="10"/>
      <c r="N26" s="10"/>
      <c r="O26" s="10"/>
      <c r="P26" s="10"/>
      <c r="Q26" s="10"/>
      <c r="R26" s="6"/>
    </row>
    <row r="27" spans="2:18" ht="15" customHeight="1" x14ac:dyDescent="0.3">
      <c r="B27" s="6"/>
      <c r="C27" s="8"/>
      <c r="D27" s="8"/>
      <c r="E27" s="8"/>
      <c r="F27" s="8"/>
      <c r="G27" s="8"/>
      <c r="H27" s="8"/>
      <c r="I27" s="8"/>
      <c r="J27" s="10"/>
      <c r="K27" s="10"/>
      <c r="L27" s="10"/>
      <c r="M27" s="10"/>
      <c r="N27" s="10"/>
      <c r="O27" s="10"/>
      <c r="P27" s="10"/>
      <c r="Q27" s="10"/>
      <c r="R27" s="6"/>
    </row>
    <row r="28" spans="2:18" ht="15" customHeight="1" x14ac:dyDescent="0.3">
      <c r="B28" s="6"/>
      <c r="C28" s="44" t="s">
        <v>8</v>
      </c>
      <c r="D28" s="44"/>
      <c r="E28" s="44"/>
      <c r="F28" s="44"/>
      <c r="G28" s="44"/>
      <c r="H28" s="44"/>
      <c r="I28" s="44"/>
      <c r="J28" s="9" t="s">
        <v>14</v>
      </c>
      <c r="K28" s="10"/>
      <c r="L28" s="10"/>
      <c r="M28" s="10"/>
      <c r="N28" s="10"/>
      <c r="O28" s="10"/>
      <c r="P28" s="10"/>
      <c r="Q28" s="10"/>
      <c r="R28" s="6"/>
    </row>
    <row r="29" spans="2:18" ht="15" customHeight="1" x14ac:dyDescent="0.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</sheetData>
  <sheetProtection sheet="1" objects="1" scenarios="1" selectLockedCells="1"/>
  <mergeCells count="22">
    <mergeCell ref="C28:I28"/>
    <mergeCell ref="C5:Q6"/>
    <mergeCell ref="C8:I8"/>
    <mergeCell ref="C10:I10"/>
    <mergeCell ref="C12:I12"/>
    <mergeCell ref="C14:I14"/>
    <mergeCell ref="C16:I16"/>
    <mergeCell ref="J10:K10"/>
    <mergeCell ref="J12:K12"/>
    <mergeCell ref="J14:Q14"/>
    <mergeCell ref="C18:I18"/>
    <mergeCell ref="C20:I20"/>
    <mergeCell ref="C22:I22"/>
    <mergeCell ref="C24:I24"/>
    <mergeCell ref="C26:I26"/>
    <mergeCell ref="J24:Q24"/>
    <mergeCell ref="J26:K26"/>
    <mergeCell ref="J8:Q8"/>
    <mergeCell ref="J16:K16"/>
    <mergeCell ref="J18:K18"/>
    <mergeCell ref="J20:K20"/>
    <mergeCell ref="J22:M22"/>
  </mergeCells>
  <dataValidations count="1">
    <dataValidation type="list" allowBlank="1" showInputMessage="1" showErrorMessage="1" sqref="J28" xr:uid="{B84C6D2A-4B05-435E-97D5-E74C6A5BB5D6}">
      <formula1>"Sim,Não"</formula1>
    </dataValidation>
  </dataValidations>
  <hyperlinks>
    <hyperlink ref="J22" r:id="rId1" xr:uid="{36234525-D278-4848-83F7-1B9CF1358F48}"/>
  </hyperlinks>
  <pageMargins left="0.511811024" right="0.511811024" top="0.78740157499999996" bottom="0.78740157499999996" header="0.31496062000000002" footer="0.31496062000000002"/>
  <pageSetup paperSize="9" scale="4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3B6B-DA1F-4403-AF55-D91F64A37C73}">
  <dimension ref="B1:R29"/>
  <sheetViews>
    <sheetView showGridLines="0" showRowColHeaders="0" zoomScaleNormal="100" workbookViewId="0">
      <selection activeCell="C25" sqref="C25:G25"/>
    </sheetView>
  </sheetViews>
  <sheetFormatPr defaultRowHeight="15" x14ac:dyDescent="0.25"/>
  <cols>
    <col min="1" max="1" width="25.140625" customWidth="1"/>
    <col min="2" max="2" width="4.85546875" customWidth="1"/>
  </cols>
  <sheetData>
    <row r="1" spans="2:18" ht="15" customHeight="1" x14ac:dyDescent="0.25"/>
    <row r="2" spans="2:18" ht="15" customHeight="1" x14ac:dyDescent="0.25"/>
    <row r="3" spans="2:18" ht="15" customHeight="1" x14ac:dyDescent="0.25"/>
    <row r="4" spans="2:18" ht="15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ht="15" customHeight="1" x14ac:dyDescent="0.3">
      <c r="B5" s="11"/>
      <c r="C5" s="70" t="s">
        <v>15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11"/>
    </row>
    <row r="6" spans="2:18" ht="15" customHeight="1" x14ac:dyDescent="0.3">
      <c r="B6" s="11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11"/>
    </row>
    <row r="7" spans="2:18" ht="15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ht="15" customHeight="1" x14ac:dyDescent="0.25">
      <c r="B8" s="1"/>
      <c r="C8" s="49" t="s">
        <v>104</v>
      </c>
      <c r="D8" s="49"/>
      <c r="E8" s="49"/>
      <c r="F8" s="49"/>
      <c r="G8" s="51">
        <f>SUM(J13:K27)</f>
        <v>1751228</v>
      </c>
      <c r="H8" s="51"/>
      <c r="I8" s="51"/>
      <c r="J8" s="1"/>
      <c r="K8" s="1"/>
      <c r="L8" s="1"/>
      <c r="M8" s="1"/>
      <c r="N8" s="1"/>
      <c r="O8" s="1"/>
      <c r="P8" s="1"/>
      <c r="Q8" s="1"/>
      <c r="R8" s="1"/>
    </row>
    <row r="9" spans="2:18" ht="15" customHeight="1" x14ac:dyDescent="0.25">
      <c r="B9" s="1"/>
      <c r="C9" s="50"/>
      <c r="D9" s="50"/>
      <c r="E9" s="50"/>
      <c r="F9" s="5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2:18" ht="15" customHeight="1" x14ac:dyDescent="0.25">
      <c r="B10" s="1"/>
      <c r="C10" s="49" t="s">
        <v>105</v>
      </c>
      <c r="D10" s="49"/>
      <c r="E10" s="49"/>
      <c r="F10" s="49"/>
      <c r="G10" s="51">
        <f>SUM(L13:M27)</f>
        <v>577854</v>
      </c>
      <c r="H10" s="51"/>
      <c r="I10" s="51"/>
      <c r="J10" s="1"/>
      <c r="K10" s="1"/>
      <c r="L10" s="1"/>
      <c r="M10" s="1"/>
      <c r="N10" s="1"/>
      <c r="O10" s="1"/>
      <c r="P10" s="1"/>
      <c r="Q10" s="1"/>
      <c r="R10" s="1"/>
    </row>
    <row r="11" spans="2:18" ht="15" customHeight="1" thickBot="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 ht="15" customHeight="1" thickBot="1" x14ac:dyDescent="0.3">
      <c r="B12" s="1"/>
      <c r="C12" s="47" t="s">
        <v>95</v>
      </c>
      <c r="D12" s="48"/>
      <c r="E12" s="48"/>
      <c r="F12" s="48"/>
      <c r="G12" s="48"/>
      <c r="H12" s="48" t="s">
        <v>96</v>
      </c>
      <c r="I12" s="48"/>
      <c r="J12" s="22" t="s">
        <v>98</v>
      </c>
      <c r="K12" s="22"/>
      <c r="L12" s="71" t="s">
        <v>99</v>
      </c>
      <c r="M12" s="71"/>
      <c r="N12" s="22" t="s">
        <v>94</v>
      </c>
      <c r="O12" s="22"/>
      <c r="P12" s="22"/>
      <c r="Q12" s="23"/>
      <c r="R12" s="1"/>
    </row>
    <row r="13" spans="2:18" ht="15" customHeight="1" x14ac:dyDescent="0.25">
      <c r="B13" s="1"/>
      <c r="C13" s="54" t="s">
        <v>100</v>
      </c>
      <c r="D13" s="55"/>
      <c r="E13" s="55"/>
      <c r="F13" s="55"/>
      <c r="G13" s="55"/>
      <c r="H13" s="66">
        <v>11222333444455</v>
      </c>
      <c r="I13" s="66"/>
      <c r="J13" s="67">
        <v>1200000</v>
      </c>
      <c r="K13" s="67"/>
      <c r="L13" s="67">
        <v>450000</v>
      </c>
      <c r="M13" s="67"/>
      <c r="N13" s="68" t="s">
        <v>101</v>
      </c>
      <c r="O13" s="68"/>
      <c r="P13" s="68"/>
      <c r="Q13" s="69"/>
      <c r="R13" s="1"/>
    </row>
    <row r="14" spans="2:18" ht="15" customHeight="1" x14ac:dyDescent="0.25">
      <c r="B14" s="1"/>
      <c r="C14" s="52" t="s">
        <v>106</v>
      </c>
      <c r="D14" s="53"/>
      <c r="E14" s="53"/>
      <c r="F14" s="53"/>
      <c r="G14" s="53"/>
      <c r="H14" s="65">
        <v>44333222111100</v>
      </c>
      <c r="I14" s="65"/>
      <c r="J14" s="56">
        <v>551228</v>
      </c>
      <c r="K14" s="56"/>
      <c r="L14" s="56">
        <v>127854</v>
      </c>
      <c r="M14" s="56"/>
      <c r="N14" s="57" t="s">
        <v>107</v>
      </c>
      <c r="O14" s="57"/>
      <c r="P14" s="57"/>
      <c r="Q14" s="58"/>
      <c r="R14" s="1"/>
    </row>
    <row r="15" spans="2:18" ht="15" customHeight="1" x14ac:dyDescent="0.25">
      <c r="B15" s="1"/>
      <c r="C15" s="52"/>
      <c r="D15" s="53"/>
      <c r="E15" s="53"/>
      <c r="F15" s="53"/>
      <c r="G15" s="53"/>
      <c r="H15" s="65"/>
      <c r="I15" s="65"/>
      <c r="J15" s="56"/>
      <c r="K15" s="56"/>
      <c r="L15" s="56"/>
      <c r="M15" s="56"/>
      <c r="N15" s="57"/>
      <c r="O15" s="57"/>
      <c r="P15" s="57"/>
      <c r="Q15" s="58"/>
      <c r="R15" s="1"/>
    </row>
    <row r="16" spans="2:18" ht="15" customHeight="1" x14ac:dyDescent="0.25">
      <c r="B16" s="1"/>
      <c r="C16" s="52"/>
      <c r="D16" s="53"/>
      <c r="E16" s="53"/>
      <c r="F16" s="53"/>
      <c r="G16" s="53"/>
      <c r="H16" s="65"/>
      <c r="I16" s="65"/>
      <c r="J16" s="56"/>
      <c r="K16" s="56"/>
      <c r="L16" s="56"/>
      <c r="M16" s="56"/>
      <c r="N16" s="57"/>
      <c r="O16" s="57"/>
      <c r="P16" s="57"/>
      <c r="Q16" s="58"/>
      <c r="R16" s="1"/>
    </row>
    <row r="17" spans="2:18" ht="15" customHeight="1" x14ac:dyDescent="0.25">
      <c r="B17" s="1"/>
      <c r="C17" s="52"/>
      <c r="D17" s="53"/>
      <c r="E17" s="53"/>
      <c r="F17" s="53"/>
      <c r="G17" s="53"/>
      <c r="H17" s="65"/>
      <c r="I17" s="65"/>
      <c r="J17" s="56"/>
      <c r="K17" s="56"/>
      <c r="L17" s="56"/>
      <c r="M17" s="56"/>
      <c r="N17" s="57"/>
      <c r="O17" s="57"/>
      <c r="P17" s="57"/>
      <c r="Q17" s="58"/>
      <c r="R17" s="1"/>
    </row>
    <row r="18" spans="2:18" ht="15" customHeight="1" x14ac:dyDescent="0.25">
      <c r="B18" s="1"/>
      <c r="C18" s="52"/>
      <c r="D18" s="53"/>
      <c r="E18" s="53"/>
      <c r="F18" s="53"/>
      <c r="G18" s="53"/>
      <c r="H18" s="65"/>
      <c r="I18" s="65"/>
      <c r="J18" s="56"/>
      <c r="K18" s="56"/>
      <c r="L18" s="56"/>
      <c r="M18" s="56"/>
      <c r="N18" s="57"/>
      <c r="O18" s="57"/>
      <c r="P18" s="57"/>
      <c r="Q18" s="58"/>
      <c r="R18" s="1"/>
    </row>
    <row r="19" spans="2:18" ht="15" customHeight="1" x14ac:dyDescent="0.25">
      <c r="B19" s="1"/>
      <c r="C19" s="52"/>
      <c r="D19" s="53"/>
      <c r="E19" s="53"/>
      <c r="F19" s="53"/>
      <c r="G19" s="53"/>
      <c r="H19" s="65"/>
      <c r="I19" s="65"/>
      <c r="J19" s="56"/>
      <c r="K19" s="56"/>
      <c r="L19" s="56"/>
      <c r="M19" s="56"/>
      <c r="N19" s="57"/>
      <c r="O19" s="57"/>
      <c r="P19" s="57"/>
      <c r="Q19" s="58"/>
      <c r="R19" s="1"/>
    </row>
    <row r="20" spans="2:18" ht="15" customHeight="1" x14ac:dyDescent="0.25">
      <c r="B20" s="1"/>
      <c r="C20" s="52"/>
      <c r="D20" s="53"/>
      <c r="E20" s="53"/>
      <c r="F20" s="53"/>
      <c r="G20" s="53"/>
      <c r="H20" s="65"/>
      <c r="I20" s="65"/>
      <c r="J20" s="56"/>
      <c r="K20" s="56"/>
      <c r="L20" s="56"/>
      <c r="M20" s="56"/>
      <c r="N20" s="57"/>
      <c r="O20" s="57"/>
      <c r="P20" s="57"/>
      <c r="Q20" s="58"/>
      <c r="R20" s="1"/>
    </row>
    <row r="21" spans="2:18" ht="15" customHeight="1" x14ac:dyDescent="0.25">
      <c r="B21" s="1"/>
      <c r="C21" s="52"/>
      <c r="D21" s="53"/>
      <c r="E21" s="53"/>
      <c r="F21" s="53"/>
      <c r="G21" s="53"/>
      <c r="H21" s="65"/>
      <c r="I21" s="65"/>
      <c r="J21" s="56"/>
      <c r="K21" s="56"/>
      <c r="L21" s="56"/>
      <c r="M21" s="56"/>
      <c r="N21" s="57"/>
      <c r="O21" s="57"/>
      <c r="P21" s="57"/>
      <c r="Q21" s="58"/>
      <c r="R21" s="1"/>
    </row>
    <row r="22" spans="2:18" ht="15" customHeight="1" x14ac:dyDescent="0.25">
      <c r="B22" s="1"/>
      <c r="C22" s="52"/>
      <c r="D22" s="53"/>
      <c r="E22" s="53"/>
      <c r="F22" s="53"/>
      <c r="G22" s="53"/>
      <c r="H22" s="65"/>
      <c r="I22" s="65"/>
      <c r="J22" s="56"/>
      <c r="K22" s="56"/>
      <c r="L22" s="56"/>
      <c r="M22" s="56"/>
      <c r="N22" s="57"/>
      <c r="O22" s="57"/>
      <c r="P22" s="57"/>
      <c r="Q22" s="58"/>
      <c r="R22" s="1"/>
    </row>
    <row r="23" spans="2:18" ht="15" customHeight="1" x14ac:dyDescent="0.25">
      <c r="B23" s="1"/>
      <c r="C23" s="52"/>
      <c r="D23" s="53"/>
      <c r="E23" s="53"/>
      <c r="F23" s="53"/>
      <c r="G23" s="53"/>
      <c r="H23" s="65"/>
      <c r="I23" s="65"/>
      <c r="J23" s="56"/>
      <c r="K23" s="56"/>
      <c r="L23" s="56"/>
      <c r="M23" s="56"/>
      <c r="N23" s="57"/>
      <c r="O23" s="57"/>
      <c r="P23" s="57"/>
      <c r="Q23" s="58"/>
      <c r="R23" s="1"/>
    </row>
    <row r="24" spans="2:18" ht="15" customHeight="1" x14ac:dyDescent="0.25">
      <c r="B24" s="1"/>
      <c r="C24" s="52"/>
      <c r="D24" s="53"/>
      <c r="E24" s="53"/>
      <c r="F24" s="53"/>
      <c r="G24" s="53"/>
      <c r="H24" s="65"/>
      <c r="I24" s="65"/>
      <c r="J24" s="56"/>
      <c r="K24" s="56"/>
      <c r="L24" s="56"/>
      <c r="M24" s="56"/>
      <c r="N24" s="57"/>
      <c r="O24" s="57"/>
      <c r="P24" s="57"/>
      <c r="Q24" s="58"/>
      <c r="R24" s="1"/>
    </row>
    <row r="25" spans="2:18" ht="15" customHeight="1" x14ac:dyDescent="0.25">
      <c r="B25" s="1"/>
      <c r="C25" s="52"/>
      <c r="D25" s="53"/>
      <c r="E25" s="53"/>
      <c r="F25" s="53"/>
      <c r="G25" s="53"/>
      <c r="H25" s="65"/>
      <c r="I25" s="65"/>
      <c r="J25" s="56"/>
      <c r="K25" s="56"/>
      <c r="L25" s="56"/>
      <c r="M25" s="56"/>
      <c r="N25" s="57"/>
      <c r="O25" s="57"/>
      <c r="P25" s="57"/>
      <c r="Q25" s="58"/>
      <c r="R25" s="1"/>
    </row>
    <row r="26" spans="2:18" ht="15" customHeight="1" x14ac:dyDescent="0.25">
      <c r="B26" s="1"/>
      <c r="C26" s="52"/>
      <c r="D26" s="53"/>
      <c r="E26" s="53"/>
      <c r="F26" s="53"/>
      <c r="G26" s="53"/>
      <c r="H26" s="65"/>
      <c r="I26" s="65"/>
      <c r="J26" s="56"/>
      <c r="K26" s="56"/>
      <c r="L26" s="56"/>
      <c r="M26" s="56"/>
      <c r="N26" s="57"/>
      <c r="O26" s="57"/>
      <c r="P26" s="57"/>
      <c r="Q26" s="58"/>
      <c r="R26" s="1"/>
    </row>
    <row r="27" spans="2:18" ht="15" customHeight="1" thickBot="1" x14ac:dyDescent="0.3">
      <c r="B27" s="1"/>
      <c r="C27" s="63"/>
      <c r="D27" s="64"/>
      <c r="E27" s="64"/>
      <c r="F27" s="64"/>
      <c r="G27" s="64"/>
      <c r="H27" s="59"/>
      <c r="I27" s="59"/>
      <c r="J27" s="60"/>
      <c r="K27" s="60"/>
      <c r="L27" s="60"/>
      <c r="M27" s="60"/>
      <c r="N27" s="61"/>
      <c r="O27" s="61"/>
      <c r="P27" s="61"/>
      <c r="Q27" s="62"/>
      <c r="R27" s="1"/>
    </row>
    <row r="28" spans="2:18" ht="15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2:18" ht="15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sheetProtection sheet="1" objects="1" scenarios="1" selectLockedCells="1"/>
  <mergeCells count="84">
    <mergeCell ref="C5:Q6"/>
    <mergeCell ref="H12:I12"/>
    <mergeCell ref="L12:M12"/>
    <mergeCell ref="N25:Q25"/>
    <mergeCell ref="H26:I26"/>
    <mergeCell ref="C25:G25"/>
    <mergeCell ref="J14:K14"/>
    <mergeCell ref="L14:M14"/>
    <mergeCell ref="N14:Q14"/>
    <mergeCell ref="H13:I13"/>
    <mergeCell ref="J13:K13"/>
    <mergeCell ref="L13:M13"/>
    <mergeCell ref="N13:Q13"/>
    <mergeCell ref="H14:I14"/>
    <mergeCell ref="H15:I15"/>
    <mergeCell ref="J15:K15"/>
    <mergeCell ref="L15:M15"/>
    <mergeCell ref="N15:Q15"/>
    <mergeCell ref="H16:I16"/>
    <mergeCell ref="J16:K16"/>
    <mergeCell ref="L16:M16"/>
    <mergeCell ref="N16:Q16"/>
    <mergeCell ref="H17:I17"/>
    <mergeCell ref="J17:K17"/>
    <mergeCell ref="L17:M17"/>
    <mergeCell ref="N17:Q17"/>
    <mergeCell ref="H18:I18"/>
    <mergeCell ref="J18:K18"/>
    <mergeCell ref="L18:M18"/>
    <mergeCell ref="N18:Q18"/>
    <mergeCell ref="H19:I19"/>
    <mergeCell ref="J19:K19"/>
    <mergeCell ref="L19:M19"/>
    <mergeCell ref="N19:Q19"/>
    <mergeCell ref="H20:I20"/>
    <mergeCell ref="J20:K20"/>
    <mergeCell ref="L20:M20"/>
    <mergeCell ref="N20:Q20"/>
    <mergeCell ref="H21:I21"/>
    <mergeCell ref="J21:K21"/>
    <mergeCell ref="L21:M21"/>
    <mergeCell ref="N21:Q21"/>
    <mergeCell ref="H22:I22"/>
    <mergeCell ref="J22:K22"/>
    <mergeCell ref="L22:M22"/>
    <mergeCell ref="N22:Q22"/>
    <mergeCell ref="N23:Q23"/>
    <mergeCell ref="H24:I24"/>
    <mergeCell ref="J24:K24"/>
    <mergeCell ref="L24:M24"/>
    <mergeCell ref="N24:Q24"/>
    <mergeCell ref="C26:G26"/>
    <mergeCell ref="C27:G27"/>
    <mergeCell ref="H23:I23"/>
    <mergeCell ref="J23:K23"/>
    <mergeCell ref="L23:M23"/>
    <mergeCell ref="H25:I25"/>
    <mergeCell ref="J25:K25"/>
    <mergeCell ref="L25:M25"/>
    <mergeCell ref="J26:K26"/>
    <mergeCell ref="L26:M26"/>
    <mergeCell ref="N26:Q26"/>
    <mergeCell ref="H27:I27"/>
    <mergeCell ref="J27:K27"/>
    <mergeCell ref="L27:M27"/>
    <mergeCell ref="N27:Q27"/>
    <mergeCell ref="C24:G24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12:G12"/>
    <mergeCell ref="C8:F8"/>
    <mergeCell ref="C9:F9"/>
    <mergeCell ref="C10:F10"/>
    <mergeCell ref="G8:I8"/>
    <mergeCell ref="G10:I10"/>
  </mergeCells>
  <conditionalFormatting sqref="H13:I27">
    <cfRule type="expression" dxfId="3" priority="1">
      <formula>$G13="PJ"</formula>
    </cfRule>
    <cfRule type="expression" dxfId="2" priority="2">
      <formula>$G13="PF"</formula>
    </cfRule>
  </conditionalFormatting>
  <pageMargins left="0.511811024" right="0.511811024" top="0.78740157499999996" bottom="0.78740157499999996" header="0.31496062000000002" footer="0.31496062000000002"/>
  <pageSetup paperSize="9" scale="4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3EFF-C0DD-48D0-8C98-0E5611115A6F}">
  <dimension ref="B1:R29"/>
  <sheetViews>
    <sheetView showGridLines="0" showRowColHeaders="0" zoomScaleNormal="100" workbookViewId="0">
      <selection activeCell="C15" sqref="C15:D15"/>
    </sheetView>
  </sheetViews>
  <sheetFormatPr defaultRowHeight="15" x14ac:dyDescent="0.25"/>
  <cols>
    <col min="1" max="1" width="25.140625" customWidth="1"/>
    <col min="2" max="2" width="4.85546875" customWidth="1"/>
    <col min="5" max="5" width="9.140625" customWidth="1"/>
    <col min="15" max="18" width="9.140625" customWidth="1"/>
  </cols>
  <sheetData>
    <row r="1" spans="2:18" ht="15" customHeight="1" x14ac:dyDescent="0.25"/>
    <row r="2" spans="2:18" ht="15" customHeight="1" x14ac:dyDescent="0.25"/>
    <row r="3" spans="2:18" ht="15" customHeight="1" x14ac:dyDescent="0.25"/>
    <row r="4" spans="2:18" ht="15" customHeigh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2:18" ht="15" customHeight="1" x14ac:dyDescent="0.25">
      <c r="B5" s="2"/>
      <c r="C5" s="87" t="s">
        <v>110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2"/>
    </row>
    <row r="6" spans="2:18" ht="15" customHeight="1" x14ac:dyDescent="0.25">
      <c r="B6" s="2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2"/>
    </row>
    <row r="7" spans="2:18" ht="15" customHeight="1" x14ac:dyDescent="0.25">
      <c r="B7" s="2"/>
      <c r="C7" s="2"/>
      <c r="D7" s="2"/>
      <c r="E7" s="2"/>
      <c r="F7" s="2"/>
      <c r="G7" s="2"/>
      <c r="H7" s="2"/>
      <c r="I7" s="2"/>
      <c r="J7" s="2"/>
      <c r="K7" s="26"/>
      <c r="L7" s="2"/>
      <c r="M7" s="2"/>
      <c r="N7" s="2"/>
      <c r="O7" s="2"/>
      <c r="P7" s="2"/>
      <c r="Q7" s="2"/>
      <c r="R7" s="2"/>
    </row>
    <row r="8" spans="2:18" ht="15" customHeight="1" x14ac:dyDescent="0.25">
      <c r="B8" s="2"/>
      <c r="C8" s="88" t="s">
        <v>104</v>
      </c>
      <c r="D8" s="88"/>
      <c r="E8" s="88"/>
      <c r="F8" s="88"/>
      <c r="G8" s="89">
        <f>Q28</f>
        <v>391005.6</v>
      </c>
      <c r="H8" s="89"/>
      <c r="I8" s="89"/>
      <c r="J8" s="2"/>
      <c r="K8" s="2"/>
      <c r="L8" s="2"/>
      <c r="M8" s="2"/>
      <c r="N8" s="2"/>
      <c r="O8" s="2"/>
      <c r="P8" s="2"/>
      <c r="Q8" s="2"/>
      <c r="R8" s="2"/>
    </row>
    <row r="9" spans="2:18" ht="15" customHeight="1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2:18" ht="15" customHeight="1" x14ac:dyDescent="0.25">
      <c r="B10" s="2"/>
      <c r="C10" s="88"/>
      <c r="D10" s="88"/>
      <c r="E10" s="88"/>
      <c r="F10" s="88"/>
      <c r="G10" s="89"/>
      <c r="H10" s="89"/>
      <c r="I10" s="89"/>
      <c r="J10" s="2"/>
      <c r="K10" s="2"/>
      <c r="L10" s="2"/>
      <c r="M10" s="2"/>
      <c r="N10" s="2"/>
      <c r="O10" s="2"/>
      <c r="P10" s="2"/>
      <c r="Q10" s="2"/>
      <c r="R10" s="2"/>
    </row>
    <row r="11" spans="2:18" ht="15" customHeight="1" thickBo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2:18" ht="15" customHeight="1" x14ac:dyDescent="0.25">
      <c r="B12" s="2"/>
      <c r="C12" s="27"/>
      <c r="D12" s="28"/>
      <c r="E12" s="78" t="s">
        <v>113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9" t="s">
        <v>111</v>
      </c>
      <c r="R12" s="2"/>
    </row>
    <row r="13" spans="2:18" ht="15" customHeight="1" x14ac:dyDescent="0.25">
      <c r="B13" s="2"/>
      <c r="C13" s="81" t="s">
        <v>112</v>
      </c>
      <c r="D13" s="82"/>
      <c r="E13" s="31">
        <v>1</v>
      </c>
      <c r="F13" s="31">
        <v>32</v>
      </c>
      <c r="G13" s="31">
        <v>61</v>
      </c>
      <c r="H13" s="31">
        <v>92</v>
      </c>
      <c r="I13" s="31">
        <v>122</v>
      </c>
      <c r="J13" s="31">
        <v>153</v>
      </c>
      <c r="K13" s="31">
        <v>183</v>
      </c>
      <c r="L13" s="31">
        <v>214</v>
      </c>
      <c r="M13" s="31">
        <v>245</v>
      </c>
      <c r="N13" s="31">
        <v>275</v>
      </c>
      <c r="O13" s="31">
        <v>306</v>
      </c>
      <c r="P13" s="31">
        <v>336</v>
      </c>
      <c r="Q13" s="80"/>
      <c r="R13" s="2"/>
    </row>
    <row r="14" spans="2:18" ht="15" customHeight="1" x14ac:dyDescent="0.25">
      <c r="B14" s="2"/>
      <c r="C14" s="83">
        <v>12345678910</v>
      </c>
      <c r="D14" s="84"/>
      <c r="E14" s="32">
        <v>5000.3500000000004</v>
      </c>
      <c r="F14" s="32">
        <v>5000.3500000000004</v>
      </c>
      <c r="G14" s="32">
        <v>5000.3500000000004</v>
      </c>
      <c r="H14" s="32">
        <v>5000.3500000000004</v>
      </c>
      <c r="I14" s="32">
        <v>5000.3500000000004</v>
      </c>
      <c r="J14" s="32">
        <v>5000.3500000000004</v>
      </c>
      <c r="K14" s="32">
        <v>5000.3500000000004</v>
      </c>
      <c r="L14" s="32">
        <v>5000.3500000000004</v>
      </c>
      <c r="M14" s="32">
        <v>5000.3500000000004</v>
      </c>
      <c r="N14" s="32">
        <v>5000.3500000000004</v>
      </c>
      <c r="O14" s="32">
        <v>5500</v>
      </c>
      <c r="P14" s="32">
        <v>5500</v>
      </c>
      <c r="Q14" s="34">
        <f t="shared" ref="Q14" si="0">SUM(E14:P14)</f>
        <v>61003.499999999993</v>
      </c>
      <c r="R14" s="2"/>
    </row>
    <row r="15" spans="2:18" ht="15" customHeight="1" x14ac:dyDescent="0.25">
      <c r="B15" s="2"/>
      <c r="C15" s="74">
        <v>32165498701</v>
      </c>
      <c r="D15" s="75"/>
      <c r="E15" s="29">
        <v>25000.35</v>
      </c>
      <c r="F15" s="29">
        <v>25000.35</v>
      </c>
      <c r="G15" s="29">
        <v>25000.35</v>
      </c>
      <c r="H15" s="29">
        <v>25000.35</v>
      </c>
      <c r="I15" s="29">
        <v>25000.35</v>
      </c>
      <c r="J15" s="29">
        <v>25000.35</v>
      </c>
      <c r="K15" s="29">
        <v>30000</v>
      </c>
      <c r="L15" s="29">
        <v>30000</v>
      </c>
      <c r="M15" s="29">
        <v>30000</v>
      </c>
      <c r="N15" s="29">
        <v>30000</v>
      </c>
      <c r="O15" s="29">
        <v>30000</v>
      </c>
      <c r="P15" s="29">
        <v>30000</v>
      </c>
      <c r="Q15" s="33">
        <f>SUM(E15:P15)</f>
        <v>330002.09999999998</v>
      </c>
      <c r="R15" s="2"/>
    </row>
    <row r="16" spans="2:18" ht="15" customHeight="1" x14ac:dyDescent="0.25">
      <c r="B16" s="2"/>
      <c r="C16" s="74"/>
      <c r="D16" s="75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3">
        <f t="shared" ref="Q16:Q27" si="1">SUM(E16:P16)</f>
        <v>0</v>
      </c>
      <c r="R16" s="2"/>
    </row>
    <row r="17" spans="2:18" ht="15" customHeight="1" x14ac:dyDescent="0.25">
      <c r="B17" s="2"/>
      <c r="C17" s="74"/>
      <c r="D17" s="75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3">
        <f t="shared" si="1"/>
        <v>0</v>
      </c>
      <c r="R17" s="2"/>
    </row>
    <row r="18" spans="2:18" ht="15" customHeight="1" x14ac:dyDescent="0.25">
      <c r="B18" s="2"/>
      <c r="C18" s="74"/>
      <c r="D18" s="75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33">
        <f t="shared" si="1"/>
        <v>0</v>
      </c>
      <c r="R18" s="2"/>
    </row>
    <row r="19" spans="2:18" ht="15" customHeight="1" x14ac:dyDescent="0.25">
      <c r="B19" s="2"/>
      <c r="C19" s="85"/>
      <c r="D19" s="86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3">
        <f t="shared" si="1"/>
        <v>0</v>
      </c>
      <c r="R19" s="2"/>
    </row>
    <row r="20" spans="2:18" ht="15" customHeight="1" x14ac:dyDescent="0.25">
      <c r="B20" s="2"/>
      <c r="C20" s="74"/>
      <c r="D20" s="75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33">
        <f t="shared" si="1"/>
        <v>0</v>
      </c>
      <c r="R20" s="2"/>
    </row>
    <row r="21" spans="2:18" ht="15" customHeight="1" x14ac:dyDescent="0.25">
      <c r="B21" s="2"/>
      <c r="C21" s="74"/>
      <c r="D21" s="75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3">
        <f t="shared" si="1"/>
        <v>0</v>
      </c>
      <c r="R21" s="2"/>
    </row>
    <row r="22" spans="2:18" ht="15" customHeight="1" x14ac:dyDescent="0.25">
      <c r="B22" s="2"/>
      <c r="C22" s="74"/>
      <c r="D22" s="75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3">
        <f t="shared" si="1"/>
        <v>0</v>
      </c>
      <c r="R22" s="2"/>
    </row>
    <row r="23" spans="2:18" ht="15" customHeight="1" x14ac:dyDescent="0.25">
      <c r="B23" s="2"/>
      <c r="C23" s="74"/>
      <c r="D23" s="75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33">
        <f t="shared" si="1"/>
        <v>0</v>
      </c>
      <c r="R23" s="2"/>
    </row>
    <row r="24" spans="2:18" ht="15" customHeight="1" x14ac:dyDescent="0.25">
      <c r="B24" s="2"/>
      <c r="C24" s="74"/>
      <c r="D24" s="75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3">
        <f t="shared" si="1"/>
        <v>0</v>
      </c>
      <c r="R24" s="2"/>
    </row>
    <row r="25" spans="2:18" ht="15" customHeight="1" x14ac:dyDescent="0.25">
      <c r="B25" s="2"/>
      <c r="C25" s="74"/>
      <c r="D25" s="75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33">
        <f t="shared" si="1"/>
        <v>0</v>
      </c>
      <c r="R25" s="2"/>
    </row>
    <row r="26" spans="2:18" ht="15" customHeight="1" x14ac:dyDescent="0.25">
      <c r="B26" s="2"/>
      <c r="C26" s="74"/>
      <c r="D26" s="75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33">
        <f t="shared" si="1"/>
        <v>0</v>
      </c>
      <c r="R26" s="2"/>
    </row>
    <row r="27" spans="2:18" ht="15" customHeight="1" thickBot="1" x14ac:dyDescent="0.3">
      <c r="B27" s="2"/>
      <c r="C27" s="76"/>
      <c r="D27" s="77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3">
        <f t="shared" si="1"/>
        <v>0</v>
      </c>
      <c r="R27" s="2"/>
    </row>
    <row r="28" spans="2:18" ht="15" customHeight="1" thickBot="1" x14ac:dyDescent="0.3">
      <c r="B28" s="2"/>
      <c r="C28" s="72" t="s">
        <v>114</v>
      </c>
      <c r="D28" s="73"/>
      <c r="E28" s="36">
        <f>SUM(E14:E27)</f>
        <v>30000.699999999997</v>
      </c>
      <c r="F28" s="36">
        <f t="shared" ref="F28:Q28" si="2">SUM(F14:F27)</f>
        <v>30000.699999999997</v>
      </c>
      <c r="G28" s="36">
        <f t="shared" si="2"/>
        <v>30000.699999999997</v>
      </c>
      <c r="H28" s="36">
        <f t="shared" si="2"/>
        <v>30000.699999999997</v>
      </c>
      <c r="I28" s="36">
        <f t="shared" si="2"/>
        <v>30000.699999999997</v>
      </c>
      <c r="J28" s="36">
        <f t="shared" si="2"/>
        <v>30000.699999999997</v>
      </c>
      <c r="K28" s="36">
        <f t="shared" si="2"/>
        <v>35000.35</v>
      </c>
      <c r="L28" s="36">
        <f t="shared" si="2"/>
        <v>35000.35</v>
      </c>
      <c r="M28" s="36">
        <f t="shared" si="2"/>
        <v>35000.35</v>
      </c>
      <c r="N28" s="36">
        <f t="shared" si="2"/>
        <v>35000.35</v>
      </c>
      <c r="O28" s="36">
        <f t="shared" si="2"/>
        <v>35500</v>
      </c>
      <c r="P28" s="36">
        <f t="shared" si="2"/>
        <v>35500</v>
      </c>
      <c r="Q28" s="35">
        <f t="shared" si="2"/>
        <v>391005.6</v>
      </c>
      <c r="R28" s="2"/>
    </row>
    <row r="29" spans="2:18" ht="15" customHeight="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</sheetData>
  <sheetProtection sheet="1" objects="1" scenarios="1" selectLockedCells="1"/>
  <mergeCells count="23">
    <mergeCell ref="C21:D21"/>
    <mergeCell ref="C22:D22"/>
    <mergeCell ref="C23:D23"/>
    <mergeCell ref="C5:Q6"/>
    <mergeCell ref="C8:F8"/>
    <mergeCell ref="G8:I8"/>
    <mergeCell ref="C10:F10"/>
    <mergeCell ref="G10:I10"/>
    <mergeCell ref="C16:D16"/>
    <mergeCell ref="C17:D17"/>
    <mergeCell ref="C18:D18"/>
    <mergeCell ref="C19:D19"/>
    <mergeCell ref="C20:D20"/>
    <mergeCell ref="E12:P12"/>
    <mergeCell ref="Q12:Q13"/>
    <mergeCell ref="C13:D13"/>
    <mergeCell ref="C14:D14"/>
    <mergeCell ref="C15:D15"/>
    <mergeCell ref="C28:D28"/>
    <mergeCell ref="C24:D24"/>
    <mergeCell ref="C25:D25"/>
    <mergeCell ref="C26:D26"/>
    <mergeCell ref="C27:D27"/>
  </mergeCells>
  <pageMargins left="0.511811024" right="0.511811024" top="0.78740157499999996" bottom="0.78740157499999996" header="0.31496062000000002" footer="0.31496062000000002"/>
  <pageSetup paperSize="9" scale="4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0D51-C497-4832-8D6C-EC94CA6DE741}">
  <dimension ref="B1:R29"/>
  <sheetViews>
    <sheetView showGridLines="0" showRowColHeaders="0" zoomScaleNormal="100" workbookViewId="0">
      <selection activeCell="C13" sqref="C13:F13"/>
    </sheetView>
  </sheetViews>
  <sheetFormatPr defaultRowHeight="15" x14ac:dyDescent="0.25"/>
  <cols>
    <col min="1" max="1" width="25.140625" customWidth="1"/>
    <col min="2" max="2" width="4.85546875" customWidth="1"/>
    <col min="10" max="10" width="9.140625" customWidth="1"/>
  </cols>
  <sheetData>
    <row r="1" spans="2:18" ht="15" customHeight="1" x14ac:dyDescent="0.25"/>
    <row r="2" spans="2:18" ht="15" customHeight="1" x14ac:dyDescent="0.25"/>
    <row r="3" spans="2:18" ht="15" customHeight="1" x14ac:dyDescent="0.25"/>
    <row r="4" spans="2:18" ht="1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2:18" ht="15" customHeight="1" x14ac:dyDescent="0.25">
      <c r="B5" s="3"/>
      <c r="C5" s="113" t="s">
        <v>16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3"/>
    </row>
    <row r="6" spans="2:18" ht="15" customHeight="1" x14ac:dyDescent="0.25">
      <c r="B6" s="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3"/>
    </row>
    <row r="7" spans="2:18" ht="15" customHeight="1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2:18" ht="15" customHeight="1" x14ac:dyDescent="0.25">
      <c r="B8" s="3"/>
      <c r="C8" s="98" t="s">
        <v>24</v>
      </c>
      <c r="D8" s="98"/>
      <c r="E8" s="98"/>
      <c r="F8" s="98"/>
      <c r="G8" s="97">
        <f>SUM(I13:J22)</f>
        <v>1000521</v>
      </c>
      <c r="H8" s="97"/>
      <c r="I8" s="97"/>
      <c r="J8" s="12"/>
      <c r="K8" s="12"/>
      <c r="L8" s="3"/>
      <c r="M8" s="15"/>
      <c r="N8" s="15"/>
      <c r="O8" s="13"/>
      <c r="P8" s="13"/>
      <c r="Q8" s="13"/>
      <c r="R8" s="3"/>
    </row>
    <row r="9" spans="2:18" ht="15" customHeight="1" x14ac:dyDescent="0.25">
      <c r="B9" s="3"/>
      <c r="C9" s="12"/>
      <c r="D9" s="12"/>
      <c r="E9" s="12"/>
      <c r="F9" s="12"/>
      <c r="G9" s="12"/>
      <c r="H9" s="3"/>
      <c r="I9" s="12"/>
      <c r="J9" s="12"/>
      <c r="K9" s="12"/>
      <c r="L9" s="3"/>
      <c r="M9" s="3"/>
      <c r="N9" s="3"/>
      <c r="O9" s="13"/>
      <c r="P9" s="13"/>
      <c r="Q9" s="13"/>
      <c r="R9" s="3"/>
    </row>
    <row r="10" spans="2:18" ht="15" customHeight="1" x14ac:dyDescent="0.25">
      <c r="B10" s="3"/>
      <c r="C10" s="98" t="s">
        <v>25</v>
      </c>
      <c r="D10" s="98"/>
      <c r="E10" s="98"/>
      <c r="F10" s="98"/>
      <c r="G10" s="97">
        <f>SUM(K13:L22)</f>
        <v>3500.47</v>
      </c>
      <c r="H10" s="97"/>
      <c r="I10" s="97"/>
      <c r="J10" s="112"/>
      <c r="K10" s="112"/>
      <c r="L10" s="13"/>
      <c r="M10" s="13"/>
      <c r="N10" s="13"/>
      <c r="O10" s="13"/>
      <c r="P10" s="13"/>
      <c r="Q10" s="13"/>
      <c r="R10" s="3"/>
    </row>
    <row r="11" spans="2:18" ht="15" customHeight="1" thickBot="1" x14ac:dyDescent="0.3">
      <c r="B11" s="3"/>
      <c r="C11" s="12"/>
      <c r="D11" s="12"/>
      <c r="E11" s="12"/>
      <c r="F11" s="12"/>
      <c r="G11" s="12"/>
      <c r="H11" s="12"/>
      <c r="I11" s="12"/>
      <c r="J11" s="112"/>
      <c r="K11" s="112"/>
      <c r="L11" s="112"/>
      <c r="M11" s="112"/>
      <c r="N11" s="13"/>
      <c r="O11" s="13"/>
      <c r="P11" s="13"/>
      <c r="Q11" s="13"/>
      <c r="R11" s="3"/>
    </row>
    <row r="12" spans="2:18" ht="15" customHeight="1" thickBot="1" x14ac:dyDescent="0.3">
      <c r="B12" s="3"/>
      <c r="C12" s="47" t="s">
        <v>18</v>
      </c>
      <c r="D12" s="48"/>
      <c r="E12" s="48"/>
      <c r="F12" s="48"/>
      <c r="G12" s="14" t="s">
        <v>19</v>
      </c>
      <c r="H12" s="14" t="s">
        <v>20</v>
      </c>
      <c r="I12" s="71" t="s">
        <v>21</v>
      </c>
      <c r="J12" s="71"/>
      <c r="K12" s="71" t="s">
        <v>22</v>
      </c>
      <c r="L12" s="71"/>
      <c r="M12" s="71" t="s">
        <v>23</v>
      </c>
      <c r="N12" s="71"/>
      <c r="O12" s="71"/>
      <c r="P12" s="71"/>
      <c r="Q12" s="106"/>
      <c r="R12" s="3"/>
    </row>
    <row r="13" spans="2:18" ht="15" customHeight="1" x14ac:dyDescent="0.25">
      <c r="B13" s="3"/>
      <c r="C13" s="107" t="s">
        <v>30</v>
      </c>
      <c r="D13" s="108"/>
      <c r="E13" s="108"/>
      <c r="F13" s="108"/>
      <c r="G13" s="16">
        <v>22</v>
      </c>
      <c r="H13" s="17">
        <v>940510</v>
      </c>
      <c r="I13" s="109">
        <v>521</v>
      </c>
      <c r="J13" s="109"/>
      <c r="K13" s="109">
        <v>3500.22</v>
      </c>
      <c r="L13" s="109"/>
      <c r="M13" s="110" t="s">
        <v>115</v>
      </c>
      <c r="N13" s="110"/>
      <c r="O13" s="110"/>
      <c r="P13" s="110"/>
      <c r="Q13" s="111"/>
      <c r="R13" s="3"/>
    </row>
    <row r="14" spans="2:18" ht="15" customHeight="1" x14ac:dyDescent="0.25">
      <c r="B14" s="3"/>
      <c r="C14" s="99" t="s">
        <v>64</v>
      </c>
      <c r="D14" s="100"/>
      <c r="E14" s="100"/>
      <c r="F14" s="100"/>
      <c r="G14" s="18">
        <v>501</v>
      </c>
      <c r="H14" s="19">
        <v>123456</v>
      </c>
      <c r="I14" s="101">
        <v>1000000</v>
      </c>
      <c r="J14" s="102"/>
      <c r="K14" s="101">
        <v>0.25</v>
      </c>
      <c r="L14" s="102"/>
      <c r="M14" s="103" t="s">
        <v>116</v>
      </c>
      <c r="N14" s="104"/>
      <c r="O14" s="104"/>
      <c r="P14" s="104"/>
      <c r="Q14" s="105"/>
      <c r="R14" s="3"/>
    </row>
    <row r="15" spans="2:18" ht="15" customHeight="1" x14ac:dyDescent="0.25">
      <c r="B15" s="3"/>
      <c r="C15" s="99"/>
      <c r="D15" s="100"/>
      <c r="E15" s="100"/>
      <c r="F15" s="100"/>
      <c r="G15" s="18"/>
      <c r="H15" s="19"/>
      <c r="I15" s="101"/>
      <c r="J15" s="102"/>
      <c r="K15" s="101"/>
      <c r="L15" s="102"/>
      <c r="M15" s="103"/>
      <c r="N15" s="104"/>
      <c r="O15" s="104"/>
      <c r="P15" s="104"/>
      <c r="Q15" s="105"/>
      <c r="R15" s="3"/>
    </row>
    <row r="16" spans="2:18" ht="15" customHeight="1" x14ac:dyDescent="0.25">
      <c r="B16" s="3"/>
      <c r="C16" s="99"/>
      <c r="D16" s="100"/>
      <c r="E16" s="100"/>
      <c r="F16" s="100"/>
      <c r="G16" s="18"/>
      <c r="H16" s="19"/>
      <c r="I16" s="101"/>
      <c r="J16" s="102"/>
      <c r="K16" s="101"/>
      <c r="L16" s="102"/>
      <c r="M16" s="103"/>
      <c r="N16" s="104"/>
      <c r="O16" s="104"/>
      <c r="P16" s="104"/>
      <c r="Q16" s="105"/>
      <c r="R16" s="3"/>
    </row>
    <row r="17" spans="2:18" ht="15" customHeight="1" x14ac:dyDescent="0.25">
      <c r="B17" s="3"/>
      <c r="C17" s="99"/>
      <c r="D17" s="100"/>
      <c r="E17" s="100"/>
      <c r="F17" s="100"/>
      <c r="G17" s="18"/>
      <c r="H17" s="19"/>
      <c r="I17" s="101"/>
      <c r="J17" s="102"/>
      <c r="K17" s="101"/>
      <c r="L17" s="102"/>
      <c r="M17" s="103"/>
      <c r="N17" s="104"/>
      <c r="O17" s="104"/>
      <c r="P17" s="104"/>
      <c r="Q17" s="105"/>
      <c r="R17" s="3"/>
    </row>
    <row r="18" spans="2:18" ht="15" customHeight="1" x14ac:dyDescent="0.25">
      <c r="B18" s="3"/>
      <c r="C18" s="99"/>
      <c r="D18" s="100"/>
      <c r="E18" s="100"/>
      <c r="F18" s="100"/>
      <c r="G18" s="18"/>
      <c r="H18" s="19"/>
      <c r="I18" s="101"/>
      <c r="J18" s="102"/>
      <c r="K18" s="101"/>
      <c r="L18" s="102"/>
      <c r="M18" s="103"/>
      <c r="N18" s="104"/>
      <c r="O18" s="104"/>
      <c r="P18" s="104"/>
      <c r="Q18" s="105"/>
      <c r="R18" s="3"/>
    </row>
    <row r="19" spans="2:18" ht="15" customHeight="1" x14ac:dyDescent="0.25">
      <c r="B19" s="3"/>
      <c r="C19" s="99"/>
      <c r="D19" s="100"/>
      <c r="E19" s="100"/>
      <c r="F19" s="100"/>
      <c r="G19" s="18"/>
      <c r="H19" s="19"/>
      <c r="I19" s="101"/>
      <c r="J19" s="102"/>
      <c r="K19" s="101"/>
      <c r="L19" s="102"/>
      <c r="M19" s="103"/>
      <c r="N19" s="104"/>
      <c r="O19" s="104"/>
      <c r="P19" s="104"/>
      <c r="Q19" s="105"/>
      <c r="R19" s="3"/>
    </row>
    <row r="20" spans="2:18" ht="15" customHeight="1" x14ac:dyDescent="0.25">
      <c r="B20" s="3"/>
      <c r="C20" s="99"/>
      <c r="D20" s="100"/>
      <c r="E20" s="100"/>
      <c r="F20" s="100"/>
      <c r="G20" s="18"/>
      <c r="H20" s="19"/>
      <c r="I20" s="101"/>
      <c r="J20" s="102"/>
      <c r="K20" s="101"/>
      <c r="L20" s="102"/>
      <c r="M20" s="103"/>
      <c r="N20" s="104"/>
      <c r="O20" s="104"/>
      <c r="P20" s="104"/>
      <c r="Q20" s="105"/>
      <c r="R20" s="3"/>
    </row>
    <row r="21" spans="2:18" ht="15" customHeight="1" x14ac:dyDescent="0.25">
      <c r="B21" s="3"/>
      <c r="C21" s="99"/>
      <c r="D21" s="100"/>
      <c r="E21" s="100"/>
      <c r="F21" s="100"/>
      <c r="G21" s="18"/>
      <c r="H21" s="19"/>
      <c r="I21" s="101"/>
      <c r="J21" s="102"/>
      <c r="K21" s="101"/>
      <c r="L21" s="102"/>
      <c r="M21" s="103"/>
      <c r="N21" s="104"/>
      <c r="O21" s="104"/>
      <c r="P21" s="104"/>
      <c r="Q21" s="105"/>
      <c r="R21" s="3"/>
    </row>
    <row r="22" spans="2:18" ht="15" customHeight="1" thickBot="1" x14ac:dyDescent="0.3">
      <c r="B22" s="3"/>
      <c r="C22" s="90"/>
      <c r="D22" s="91"/>
      <c r="E22" s="91"/>
      <c r="F22" s="91"/>
      <c r="G22" s="20"/>
      <c r="H22" s="21"/>
      <c r="I22" s="92"/>
      <c r="J22" s="93"/>
      <c r="K22" s="92"/>
      <c r="L22" s="93"/>
      <c r="M22" s="94"/>
      <c r="N22" s="95"/>
      <c r="O22" s="95"/>
      <c r="P22" s="95"/>
      <c r="Q22" s="96"/>
      <c r="R22" s="3"/>
    </row>
    <row r="23" spans="2:18" ht="15" customHeight="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ht="15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2:18" ht="15" customHeight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2:18" ht="15" customHeight="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2:18" ht="15" customHeight="1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2:18" ht="15" customHeight="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2:18" ht="15" customHeight="1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</sheetData>
  <sheetProtection sheet="1" objects="1" scenarios="1" selectLockedCells="1"/>
  <mergeCells count="52">
    <mergeCell ref="L11:M11"/>
    <mergeCell ref="J10:K10"/>
    <mergeCell ref="C5:Q6"/>
    <mergeCell ref="M12:Q12"/>
    <mergeCell ref="C13:F13"/>
    <mergeCell ref="I13:J13"/>
    <mergeCell ref="K13:L13"/>
    <mergeCell ref="M13:Q13"/>
    <mergeCell ref="K12:L12"/>
    <mergeCell ref="K14:L14"/>
    <mergeCell ref="M14:Q14"/>
    <mergeCell ref="C15:F15"/>
    <mergeCell ref="I15:J15"/>
    <mergeCell ref="K15:L15"/>
    <mergeCell ref="M15:Q15"/>
    <mergeCell ref="M16:Q16"/>
    <mergeCell ref="C17:F17"/>
    <mergeCell ref="I17:J17"/>
    <mergeCell ref="K17:L17"/>
    <mergeCell ref="M17:Q17"/>
    <mergeCell ref="C8:F8"/>
    <mergeCell ref="C10:F10"/>
    <mergeCell ref="G8:I8"/>
    <mergeCell ref="C20:F20"/>
    <mergeCell ref="I20:J20"/>
    <mergeCell ref="C18:F18"/>
    <mergeCell ref="I18:J18"/>
    <mergeCell ref="C19:F19"/>
    <mergeCell ref="I19:J19"/>
    <mergeCell ref="C16:F16"/>
    <mergeCell ref="I16:J16"/>
    <mergeCell ref="C14:F14"/>
    <mergeCell ref="I14:J14"/>
    <mergeCell ref="C12:F12"/>
    <mergeCell ref="I12:J12"/>
    <mergeCell ref="J11:K11"/>
    <mergeCell ref="C22:F22"/>
    <mergeCell ref="I22:J22"/>
    <mergeCell ref="K22:L22"/>
    <mergeCell ref="M22:Q22"/>
    <mergeCell ref="G10:I10"/>
    <mergeCell ref="K20:L20"/>
    <mergeCell ref="M20:Q20"/>
    <mergeCell ref="C21:F21"/>
    <mergeCell ref="I21:J21"/>
    <mergeCell ref="K21:L21"/>
    <mergeCell ref="M21:Q21"/>
    <mergeCell ref="K18:L18"/>
    <mergeCell ref="M18:Q18"/>
    <mergeCell ref="K19:L19"/>
    <mergeCell ref="M19:Q19"/>
    <mergeCell ref="K16:L16"/>
  </mergeCells>
  <pageMargins left="0.511811024" right="0.511811024" top="0.78740157499999996" bottom="0.78740157499999996" header="0.31496062000000002" footer="0.31496062000000002"/>
  <pageSetup paperSize="9" scale="4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365" yWindow="324" count="1">
        <x14:dataValidation type="list" allowBlank="1" showInputMessage="1" showErrorMessage="1" errorTitle="Instituição inválida" error="O Código/Instituição Financeira não cadastrado" promptTitle="Codigo e nome da Instituição" prompt="Entrar com o Código / Nome da Instituição Financeira" xr:uid="{64ED0CD3-0353-4C4A-953D-E038BC5C9DFB}">
          <x14:formula1>
            <xm:f>Tab_Bancos!$A$2:$A$51</xm:f>
          </x14:formula1>
          <xm:sqref>C13:F22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8F22-1492-48D2-889A-B3FD99323773}">
  <dimension ref="B1:R29"/>
  <sheetViews>
    <sheetView showGridLines="0" showRowColHeaders="0" zoomScaleNormal="100" workbookViewId="0">
      <selection activeCell="G23" sqref="G23"/>
    </sheetView>
  </sheetViews>
  <sheetFormatPr defaultRowHeight="15" x14ac:dyDescent="0.25"/>
  <cols>
    <col min="1" max="1" width="25.140625" customWidth="1"/>
    <col min="2" max="2" width="4.85546875" customWidth="1"/>
  </cols>
  <sheetData>
    <row r="1" spans="2:18" ht="15" customHeight="1" x14ac:dyDescent="0.25"/>
    <row r="2" spans="2:18" ht="15" customHeight="1" x14ac:dyDescent="0.25"/>
    <row r="3" spans="2:18" ht="15" customHeight="1" x14ac:dyDescent="0.25"/>
    <row r="4" spans="2:18" ht="15" customHeigh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5" customHeight="1" x14ac:dyDescent="0.25">
      <c r="B5" s="4"/>
      <c r="C5" s="128" t="s">
        <v>17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4"/>
    </row>
    <row r="6" spans="2:18" ht="15" customHeight="1" x14ac:dyDescent="0.25">
      <c r="B6" s="4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4"/>
    </row>
    <row r="7" spans="2:18" ht="15" customHeight="1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2:18" ht="15" customHeight="1" x14ac:dyDescent="0.3">
      <c r="B8" s="4"/>
      <c r="C8" s="115" t="s">
        <v>90</v>
      </c>
      <c r="D8" s="115"/>
      <c r="E8" s="115"/>
      <c r="F8" s="115"/>
      <c r="G8" s="114">
        <f>SUMIF($G$13:$G$27,"PF",$J$13:$K$27)</f>
        <v>900</v>
      </c>
      <c r="H8" s="114"/>
      <c r="I8" s="114"/>
      <c r="J8" s="115" t="s">
        <v>91</v>
      </c>
      <c r="K8" s="115"/>
      <c r="L8" s="115"/>
      <c r="M8" s="115"/>
      <c r="N8" s="115"/>
      <c r="O8" s="114">
        <f>SUMIF($G$13:$G$27,"PF",$L$13:$M$27)</f>
        <v>600</v>
      </c>
      <c r="P8" s="114"/>
      <c r="Q8" s="114"/>
      <c r="R8" s="5"/>
    </row>
    <row r="9" spans="2:18" ht="15" customHeight="1" x14ac:dyDescent="0.3">
      <c r="B9" s="4"/>
      <c r="C9" s="115" t="s">
        <v>89</v>
      </c>
      <c r="D9" s="115"/>
      <c r="E9" s="115"/>
      <c r="F9" s="115"/>
      <c r="G9" s="114">
        <f>SUMIF($G$13:$G$27,"PJ",$J$13:$K$27)</f>
        <v>12000</v>
      </c>
      <c r="H9" s="114"/>
      <c r="I9" s="114"/>
      <c r="J9" s="115" t="s">
        <v>92</v>
      </c>
      <c r="K9" s="115"/>
      <c r="L9" s="115"/>
      <c r="M9" s="115"/>
      <c r="N9" s="115"/>
      <c r="O9" s="114">
        <f>SUMIF($G$13:$G$27,"PJ",$L$13:$M$27)</f>
        <v>500</v>
      </c>
      <c r="P9" s="114"/>
      <c r="Q9" s="114"/>
      <c r="R9" s="5"/>
    </row>
    <row r="10" spans="2:18" ht="15" customHeight="1" x14ac:dyDescent="0.3">
      <c r="B10" s="4"/>
      <c r="C10" s="115" t="s">
        <v>102</v>
      </c>
      <c r="D10" s="115"/>
      <c r="E10" s="115"/>
      <c r="F10" s="115"/>
      <c r="G10" s="114">
        <f>SUM(G8:H9)</f>
        <v>12900</v>
      </c>
      <c r="H10" s="114"/>
      <c r="I10" s="114"/>
      <c r="J10" s="115" t="s">
        <v>103</v>
      </c>
      <c r="K10" s="115"/>
      <c r="L10" s="115"/>
      <c r="M10" s="115"/>
      <c r="N10" s="115"/>
      <c r="O10" s="114">
        <f>SUM(O8:P9)</f>
        <v>1100</v>
      </c>
      <c r="P10" s="114"/>
      <c r="Q10" s="114"/>
      <c r="R10" s="5"/>
    </row>
    <row r="11" spans="2:18" ht="15" customHeight="1" thickBot="1" x14ac:dyDescent="0.3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2:18" ht="15" customHeight="1" thickBot="1" x14ac:dyDescent="0.35">
      <c r="B12" s="4"/>
      <c r="C12" s="47" t="s">
        <v>78</v>
      </c>
      <c r="D12" s="48"/>
      <c r="E12" s="48"/>
      <c r="F12" s="48"/>
      <c r="G12" s="14" t="s">
        <v>79</v>
      </c>
      <c r="H12" s="48" t="s">
        <v>80</v>
      </c>
      <c r="I12" s="48"/>
      <c r="J12" s="71" t="s">
        <v>81</v>
      </c>
      <c r="K12" s="71"/>
      <c r="L12" s="124" t="s">
        <v>82</v>
      </c>
      <c r="M12" s="124"/>
      <c r="N12" s="22" t="s">
        <v>97</v>
      </c>
      <c r="O12" s="22"/>
      <c r="P12" s="22"/>
      <c r="Q12" s="23"/>
      <c r="R12" s="5"/>
    </row>
    <row r="13" spans="2:18" ht="15" customHeight="1" x14ac:dyDescent="0.3">
      <c r="B13" s="4"/>
      <c r="C13" s="129" t="s">
        <v>86</v>
      </c>
      <c r="D13" s="130"/>
      <c r="E13" s="130"/>
      <c r="F13" s="130"/>
      <c r="G13" s="24" t="s">
        <v>85</v>
      </c>
      <c r="H13" s="125">
        <v>3320005600149</v>
      </c>
      <c r="I13" s="125"/>
      <c r="J13" s="123">
        <v>12000</v>
      </c>
      <c r="K13" s="123"/>
      <c r="L13" s="123">
        <v>500</v>
      </c>
      <c r="M13" s="123"/>
      <c r="N13" s="121" t="s">
        <v>83</v>
      </c>
      <c r="O13" s="121"/>
      <c r="P13" s="121"/>
      <c r="Q13" s="122"/>
      <c r="R13" s="5"/>
    </row>
    <row r="14" spans="2:18" ht="15" customHeight="1" x14ac:dyDescent="0.3">
      <c r="B14" s="4"/>
      <c r="C14" s="126" t="s">
        <v>87</v>
      </c>
      <c r="D14" s="127"/>
      <c r="E14" s="127"/>
      <c r="F14" s="127"/>
      <c r="G14" s="25" t="s">
        <v>84</v>
      </c>
      <c r="H14" s="116">
        <v>940510</v>
      </c>
      <c r="I14" s="117"/>
      <c r="J14" s="120">
        <v>300</v>
      </c>
      <c r="K14" s="120">
        <v>0.25</v>
      </c>
      <c r="L14" s="120">
        <v>300</v>
      </c>
      <c r="M14" s="120" t="s">
        <v>77</v>
      </c>
      <c r="N14" s="118" t="s">
        <v>88</v>
      </c>
      <c r="O14" s="118"/>
      <c r="P14" s="118"/>
      <c r="Q14" s="119"/>
      <c r="R14" s="5"/>
    </row>
    <row r="15" spans="2:18" ht="15" customHeight="1" x14ac:dyDescent="0.3">
      <c r="B15" s="4"/>
      <c r="C15" s="126" t="s">
        <v>93</v>
      </c>
      <c r="D15" s="127"/>
      <c r="E15" s="127"/>
      <c r="F15" s="127"/>
      <c r="G15" s="25" t="s">
        <v>84</v>
      </c>
      <c r="H15" s="116">
        <v>12345678900</v>
      </c>
      <c r="I15" s="117"/>
      <c r="J15" s="120">
        <v>600</v>
      </c>
      <c r="K15" s="120">
        <v>0.25</v>
      </c>
      <c r="L15" s="120">
        <v>300</v>
      </c>
      <c r="M15" s="120" t="s">
        <v>77</v>
      </c>
      <c r="N15" s="118" t="s">
        <v>88</v>
      </c>
      <c r="O15" s="118"/>
      <c r="P15" s="118"/>
      <c r="Q15" s="119"/>
      <c r="R15" s="5"/>
    </row>
    <row r="16" spans="2:18" ht="15" customHeight="1" x14ac:dyDescent="0.3">
      <c r="B16" s="4"/>
      <c r="C16" s="126"/>
      <c r="D16" s="127"/>
      <c r="E16" s="127"/>
      <c r="F16" s="127"/>
      <c r="G16" s="25"/>
      <c r="H16" s="116"/>
      <c r="I16" s="117"/>
      <c r="J16" s="120"/>
      <c r="K16" s="120"/>
      <c r="L16" s="120"/>
      <c r="M16" s="120"/>
      <c r="N16" s="118"/>
      <c r="O16" s="118"/>
      <c r="P16" s="118"/>
      <c r="Q16" s="119"/>
      <c r="R16" s="5"/>
    </row>
    <row r="17" spans="2:18" ht="15" customHeight="1" x14ac:dyDescent="0.3">
      <c r="B17" s="4"/>
      <c r="C17" s="126"/>
      <c r="D17" s="127"/>
      <c r="E17" s="127"/>
      <c r="F17" s="127"/>
      <c r="G17" s="25"/>
      <c r="H17" s="116"/>
      <c r="I17" s="117"/>
      <c r="J17" s="120"/>
      <c r="K17" s="120"/>
      <c r="L17" s="120"/>
      <c r="M17" s="120"/>
      <c r="N17" s="118"/>
      <c r="O17" s="118"/>
      <c r="P17" s="118"/>
      <c r="Q17" s="119"/>
      <c r="R17" s="5"/>
    </row>
    <row r="18" spans="2:18" ht="15" customHeight="1" x14ac:dyDescent="0.3">
      <c r="B18" s="4"/>
      <c r="C18" s="126"/>
      <c r="D18" s="127"/>
      <c r="E18" s="127"/>
      <c r="F18" s="127"/>
      <c r="G18" s="25"/>
      <c r="H18" s="116"/>
      <c r="I18" s="117"/>
      <c r="J18" s="120"/>
      <c r="K18" s="120"/>
      <c r="L18" s="120"/>
      <c r="M18" s="120"/>
      <c r="N18" s="118"/>
      <c r="O18" s="118"/>
      <c r="P18" s="118"/>
      <c r="Q18" s="119"/>
      <c r="R18" s="5"/>
    </row>
    <row r="19" spans="2:18" ht="15" customHeight="1" x14ac:dyDescent="0.3">
      <c r="B19" s="4"/>
      <c r="C19" s="126"/>
      <c r="D19" s="127"/>
      <c r="E19" s="127"/>
      <c r="F19" s="127"/>
      <c r="G19" s="25"/>
      <c r="H19" s="116"/>
      <c r="I19" s="117"/>
      <c r="J19" s="120"/>
      <c r="K19" s="120"/>
      <c r="L19" s="120"/>
      <c r="M19" s="120"/>
      <c r="N19" s="118"/>
      <c r="O19" s="118"/>
      <c r="P19" s="118"/>
      <c r="Q19" s="119"/>
      <c r="R19" s="5"/>
    </row>
    <row r="20" spans="2:18" ht="15" customHeight="1" x14ac:dyDescent="0.3">
      <c r="B20" s="4"/>
      <c r="C20" s="126"/>
      <c r="D20" s="127"/>
      <c r="E20" s="127"/>
      <c r="F20" s="127"/>
      <c r="G20" s="25"/>
      <c r="H20" s="116"/>
      <c r="I20" s="117"/>
      <c r="J20" s="120"/>
      <c r="K20" s="120"/>
      <c r="L20" s="120"/>
      <c r="M20" s="120"/>
      <c r="N20" s="118"/>
      <c r="O20" s="118"/>
      <c r="P20" s="118"/>
      <c r="Q20" s="119"/>
      <c r="R20" s="5"/>
    </row>
    <row r="21" spans="2:18" ht="15" customHeight="1" x14ac:dyDescent="0.3">
      <c r="B21" s="4"/>
      <c r="C21" s="126"/>
      <c r="D21" s="127"/>
      <c r="E21" s="127"/>
      <c r="F21" s="127"/>
      <c r="G21" s="25"/>
      <c r="H21" s="116"/>
      <c r="I21" s="117"/>
      <c r="J21" s="120"/>
      <c r="K21" s="120"/>
      <c r="L21" s="120"/>
      <c r="M21" s="120"/>
      <c r="N21" s="118"/>
      <c r="O21" s="118"/>
      <c r="P21" s="118"/>
      <c r="Q21" s="119"/>
      <c r="R21" s="5"/>
    </row>
    <row r="22" spans="2:18" ht="15" customHeight="1" x14ac:dyDescent="0.3">
      <c r="B22" s="4"/>
      <c r="C22" s="126"/>
      <c r="D22" s="127"/>
      <c r="E22" s="127"/>
      <c r="F22" s="127"/>
      <c r="G22" s="25"/>
      <c r="H22" s="116"/>
      <c r="I22" s="117"/>
      <c r="J22" s="120"/>
      <c r="K22" s="120"/>
      <c r="L22" s="120"/>
      <c r="M22" s="120"/>
      <c r="N22" s="118"/>
      <c r="O22" s="118"/>
      <c r="P22" s="118"/>
      <c r="Q22" s="119"/>
      <c r="R22" s="5"/>
    </row>
    <row r="23" spans="2:18" ht="15" customHeight="1" x14ac:dyDescent="0.3">
      <c r="B23" s="4"/>
      <c r="C23" s="126"/>
      <c r="D23" s="127"/>
      <c r="E23" s="127"/>
      <c r="F23" s="127"/>
      <c r="G23" s="25"/>
      <c r="H23" s="116"/>
      <c r="I23" s="117"/>
      <c r="J23" s="120"/>
      <c r="K23" s="120"/>
      <c r="L23" s="120"/>
      <c r="M23" s="120"/>
      <c r="N23" s="118"/>
      <c r="O23" s="118"/>
      <c r="P23" s="118"/>
      <c r="Q23" s="119"/>
      <c r="R23" s="5"/>
    </row>
    <row r="24" spans="2:18" ht="15" customHeight="1" x14ac:dyDescent="0.3">
      <c r="B24" s="4"/>
      <c r="C24" s="126"/>
      <c r="D24" s="127"/>
      <c r="E24" s="127"/>
      <c r="F24" s="127"/>
      <c r="G24" s="25"/>
      <c r="H24" s="116"/>
      <c r="I24" s="117"/>
      <c r="J24" s="120"/>
      <c r="K24" s="120"/>
      <c r="L24" s="120"/>
      <c r="M24" s="120"/>
      <c r="N24" s="118"/>
      <c r="O24" s="118"/>
      <c r="P24" s="118"/>
      <c r="Q24" s="119"/>
      <c r="R24" s="5"/>
    </row>
    <row r="25" spans="2:18" ht="15" customHeight="1" x14ac:dyDescent="0.3">
      <c r="B25" s="4"/>
      <c r="C25" s="126"/>
      <c r="D25" s="127"/>
      <c r="E25" s="127"/>
      <c r="F25" s="127"/>
      <c r="G25" s="25"/>
      <c r="H25" s="116"/>
      <c r="I25" s="117"/>
      <c r="J25" s="120"/>
      <c r="K25" s="120"/>
      <c r="L25" s="120"/>
      <c r="M25" s="120"/>
      <c r="N25" s="118"/>
      <c r="O25" s="118"/>
      <c r="P25" s="118"/>
      <c r="Q25" s="119"/>
      <c r="R25" s="5"/>
    </row>
    <row r="26" spans="2:18" ht="15" customHeight="1" x14ac:dyDescent="0.3">
      <c r="B26" s="4"/>
      <c r="C26" s="126"/>
      <c r="D26" s="127"/>
      <c r="E26" s="127"/>
      <c r="F26" s="127"/>
      <c r="G26" s="25"/>
      <c r="H26" s="116"/>
      <c r="I26" s="117"/>
      <c r="J26" s="120"/>
      <c r="K26" s="120"/>
      <c r="L26" s="120"/>
      <c r="M26" s="120"/>
      <c r="N26" s="118"/>
      <c r="O26" s="118"/>
      <c r="P26" s="118"/>
      <c r="Q26" s="119"/>
      <c r="R26" s="5"/>
    </row>
    <row r="27" spans="2:18" ht="15" customHeight="1" x14ac:dyDescent="0.3">
      <c r="B27" s="4"/>
      <c r="C27" s="126"/>
      <c r="D27" s="127"/>
      <c r="E27" s="127"/>
      <c r="F27" s="127"/>
      <c r="G27" s="25"/>
      <c r="H27" s="116"/>
      <c r="I27" s="117"/>
      <c r="J27" s="120"/>
      <c r="K27" s="120"/>
      <c r="L27" s="120"/>
      <c r="M27" s="120"/>
      <c r="N27" s="118"/>
      <c r="O27" s="118"/>
      <c r="P27" s="118"/>
      <c r="Q27" s="119"/>
      <c r="R27" s="5"/>
    </row>
    <row r="28" spans="2:18" ht="15" customHeight="1" x14ac:dyDescent="0.3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2:18" ht="15" customHeight="1" x14ac:dyDescent="0.3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</sheetData>
  <sheetProtection sheet="1" objects="1" scenarios="1" selectLockedCells="1"/>
  <mergeCells count="92">
    <mergeCell ref="C5:Q6"/>
    <mergeCell ref="C12:F12"/>
    <mergeCell ref="C13:F13"/>
    <mergeCell ref="C14:F14"/>
    <mergeCell ref="C17:F17"/>
    <mergeCell ref="C18:F18"/>
    <mergeCell ref="H18:I18"/>
    <mergeCell ref="J18:K18"/>
    <mergeCell ref="C15:F15"/>
    <mergeCell ref="C16:F16"/>
    <mergeCell ref="C21:F21"/>
    <mergeCell ref="C22:F22"/>
    <mergeCell ref="H21:I21"/>
    <mergeCell ref="H22:I22"/>
    <mergeCell ref="C19:F19"/>
    <mergeCell ref="C20:F20"/>
    <mergeCell ref="H19:I19"/>
    <mergeCell ref="H20:I20"/>
    <mergeCell ref="C27:F27"/>
    <mergeCell ref="C25:F25"/>
    <mergeCell ref="C26:F26"/>
    <mergeCell ref="C23:F23"/>
    <mergeCell ref="C24:F24"/>
    <mergeCell ref="H13:I13"/>
    <mergeCell ref="H14:I14"/>
    <mergeCell ref="H15:I15"/>
    <mergeCell ref="H16:I16"/>
    <mergeCell ref="H17:I17"/>
    <mergeCell ref="J19:K19"/>
    <mergeCell ref="J20:K20"/>
    <mergeCell ref="J21:K21"/>
    <mergeCell ref="J22:K22"/>
    <mergeCell ref="L13:M13"/>
    <mergeCell ref="L19:M19"/>
    <mergeCell ref="L20:M20"/>
    <mergeCell ref="L21:M21"/>
    <mergeCell ref="J13:K13"/>
    <mergeCell ref="J14:K14"/>
    <mergeCell ref="J15:K15"/>
    <mergeCell ref="J16:K16"/>
    <mergeCell ref="J17:K17"/>
    <mergeCell ref="N18:Q18"/>
    <mergeCell ref="N19:Q19"/>
    <mergeCell ref="N20:Q20"/>
    <mergeCell ref="N21:Q21"/>
    <mergeCell ref="L14:M14"/>
    <mergeCell ref="L15:M15"/>
    <mergeCell ref="L16:M16"/>
    <mergeCell ref="L17:M17"/>
    <mergeCell ref="L18:M18"/>
    <mergeCell ref="N13:Q13"/>
    <mergeCell ref="N14:Q14"/>
    <mergeCell ref="N15:Q15"/>
    <mergeCell ref="N16:Q16"/>
    <mergeCell ref="N17:Q17"/>
    <mergeCell ref="H27:I27"/>
    <mergeCell ref="J27:K27"/>
    <mergeCell ref="L27:M27"/>
    <mergeCell ref="N27:Q27"/>
    <mergeCell ref="N22:Q22"/>
    <mergeCell ref="N26:Q26"/>
    <mergeCell ref="L26:M26"/>
    <mergeCell ref="J26:K26"/>
    <mergeCell ref="H26:I26"/>
    <mergeCell ref="N25:Q25"/>
    <mergeCell ref="L25:M25"/>
    <mergeCell ref="J25:K25"/>
    <mergeCell ref="H25:I25"/>
    <mergeCell ref="N24:Q24"/>
    <mergeCell ref="L22:M22"/>
    <mergeCell ref="L24:M24"/>
    <mergeCell ref="H24:I24"/>
    <mergeCell ref="N23:Q23"/>
    <mergeCell ref="L23:M23"/>
    <mergeCell ref="J23:K23"/>
    <mergeCell ref="H23:I23"/>
    <mergeCell ref="J24:K24"/>
    <mergeCell ref="C10:F10"/>
    <mergeCell ref="J10:N10"/>
    <mergeCell ref="G8:I8"/>
    <mergeCell ref="C8:F8"/>
    <mergeCell ref="C9:F9"/>
    <mergeCell ref="G9:I9"/>
    <mergeCell ref="G10:I10"/>
    <mergeCell ref="O8:Q8"/>
    <mergeCell ref="O9:Q9"/>
    <mergeCell ref="O10:Q10"/>
    <mergeCell ref="J12:K12"/>
    <mergeCell ref="J8:N8"/>
    <mergeCell ref="J9:N9"/>
    <mergeCell ref="L12:M12"/>
    <mergeCell ref="H12:I12"/>
  </mergeCells>
  <conditionalFormatting sqref="H13:I27">
    <cfRule type="expression" dxfId="1" priority="1">
      <formula>$G13="PJ"</formula>
    </cfRule>
    <cfRule type="expression" dxfId="0" priority="2">
      <formula>$G13="PF"</formula>
    </cfRule>
  </conditionalFormatting>
  <dataValidations count="2">
    <dataValidation allowBlank="1" showInputMessage="1" showErrorMessage="1" errorTitle="Instituição inválida" error="O Código/Instituição Financeira não cadastrado" promptTitle="Codigo e nome da Instituição" prompt="Entrar com o Código / Nome da Instituição Financeira" sqref="C13:F27" xr:uid="{C24A64FE-87EF-471A-A017-C692304EEF86}"/>
    <dataValidation type="list" allowBlank="1" showInputMessage="1" showErrorMessage="1" errorTitle="Erro de tipo de Prestador" error="O prestador deve ser uma Pessoa Fisica ou Pessoa Jurídica_x000a_" promptTitle="PF ou PJ" prompt="Informar se o prestador é Pessoa Fisica ou Pessoa Jurídica_x000a_" sqref="G13:G27" xr:uid="{157CB3FE-466D-46D8-8D5E-18D3F3D965DC}">
      <formula1>"PF,PJ"</formula1>
    </dataValidation>
  </dataValidations>
  <pageMargins left="0.511811024" right="0.511811024" top="0.78740157499999996" bottom="0.78740157499999996" header="0.31496062000000002" footer="0.31496062000000002"/>
  <pageSetup paperSize="9" scale="4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EAAB-C5B3-4987-81C7-29B593112E7B}">
  <dimension ref="A1:A51"/>
  <sheetViews>
    <sheetView topLeftCell="A32" workbookViewId="0"/>
  </sheetViews>
  <sheetFormatPr defaultRowHeight="15" x14ac:dyDescent="0.25"/>
  <sheetData>
    <row r="1" spans="1:1" x14ac:dyDescent="0.25">
      <c r="A1" t="s">
        <v>26</v>
      </c>
    </row>
    <row r="2" spans="1:1" x14ac:dyDescent="0.25">
      <c r="A2" t="s">
        <v>60</v>
      </c>
    </row>
    <row r="3" spans="1:1" x14ac:dyDescent="0.25">
      <c r="A3" t="s">
        <v>63</v>
      </c>
    </row>
    <row r="4" spans="1:1" x14ac:dyDescent="0.25">
      <c r="A4" t="s">
        <v>66</v>
      </c>
    </row>
    <row r="5" spans="1:1" x14ac:dyDescent="0.25">
      <c r="A5" t="s">
        <v>61</v>
      </c>
    </row>
    <row r="6" spans="1:1" x14ac:dyDescent="0.25">
      <c r="A6" t="s">
        <v>62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67</v>
      </c>
    </row>
    <row r="10" spans="1:1" x14ac:dyDescent="0.25">
      <c r="A10" t="s">
        <v>68</v>
      </c>
    </row>
    <row r="11" spans="1:1" x14ac:dyDescent="0.25">
      <c r="A11" t="s">
        <v>69</v>
      </c>
    </row>
    <row r="12" spans="1:1" x14ac:dyDescent="0.25">
      <c r="A12" t="s">
        <v>70</v>
      </c>
    </row>
    <row r="13" spans="1:1" x14ac:dyDescent="0.25">
      <c r="A13" t="s">
        <v>71</v>
      </c>
    </row>
    <row r="14" spans="1:1" x14ac:dyDescent="0.25">
      <c r="A14" t="s">
        <v>72</v>
      </c>
    </row>
    <row r="15" spans="1:1" x14ac:dyDescent="0.25">
      <c r="A15" t="s">
        <v>73</v>
      </c>
    </row>
    <row r="16" spans="1:1" x14ac:dyDescent="0.25">
      <c r="A16" t="s">
        <v>74</v>
      </c>
    </row>
    <row r="17" spans="1:1" x14ac:dyDescent="0.25">
      <c r="A17" t="s">
        <v>75</v>
      </c>
    </row>
    <row r="18" spans="1:1" x14ac:dyDescent="0.25">
      <c r="A18" t="s">
        <v>76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37</v>
      </c>
    </row>
    <row r="30" spans="1:1" x14ac:dyDescent="0.25">
      <c r="A30" t="s">
        <v>38</v>
      </c>
    </row>
    <row r="31" spans="1:1" x14ac:dyDescent="0.25">
      <c r="A31" t="s">
        <v>39</v>
      </c>
    </row>
    <row r="32" spans="1:1" x14ac:dyDescent="0.25">
      <c r="A32" t="s">
        <v>40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  <row r="38" spans="1:1" x14ac:dyDescent="0.25">
      <c r="A38" t="s">
        <v>46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49</v>
      </c>
    </row>
    <row r="42" spans="1:1" x14ac:dyDescent="0.25">
      <c r="A42" t="s">
        <v>50</v>
      </c>
    </row>
    <row r="43" spans="1:1" x14ac:dyDescent="0.25">
      <c r="A43" t="s">
        <v>51</v>
      </c>
    </row>
    <row r="44" spans="1:1" x14ac:dyDescent="0.25">
      <c r="A44" t="s">
        <v>52</v>
      </c>
    </row>
    <row r="45" spans="1:1" x14ac:dyDescent="0.25">
      <c r="A45" t="s">
        <v>53</v>
      </c>
    </row>
    <row r="46" spans="1:1" x14ac:dyDescent="0.25">
      <c r="A46" t="s">
        <v>54</v>
      </c>
    </row>
    <row r="47" spans="1:1" x14ac:dyDescent="0.25">
      <c r="A47" t="s">
        <v>55</v>
      </c>
    </row>
    <row r="48" spans="1:1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</sheetData>
  <sortState xmlns:xlrd2="http://schemas.microsoft.com/office/spreadsheetml/2017/richdata2" ref="A2:A51">
    <sortCondition ref="A2:A5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 Contribuinte</vt:lpstr>
      <vt:lpstr>Recebimento PJ</vt:lpstr>
      <vt:lpstr>Recebimento PF</vt:lpstr>
      <vt:lpstr>Saldos bancarios</vt:lpstr>
      <vt:lpstr>Despesas</vt:lpstr>
      <vt:lpstr>Tab_Bancos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Sergio Alves Riciopo</dc:creator>
  <cp:lastModifiedBy>Ailton Sergio Alves Riciopo</cp:lastModifiedBy>
  <dcterms:created xsi:type="dcterms:W3CDTF">2025-12-23T18:43:49Z</dcterms:created>
  <dcterms:modified xsi:type="dcterms:W3CDTF">2025-12-24T02:17:11Z</dcterms:modified>
</cp:coreProperties>
</file>