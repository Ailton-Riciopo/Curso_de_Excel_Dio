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OS\Docs em PDF\Cursos\Excel\"/>
    </mc:Choice>
  </mc:AlternateContent>
  <xr:revisionPtr revIDLastSave="0" documentId="13_ncr:1_{1EA7093A-D718-425A-90F5-54A14768509D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3" l="1"/>
  <c r="D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<sst xmlns="http://schemas.openxmlformats.org/spreadsheetml/2006/main" count="2022" uniqueCount="324">
  <si>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</si>
  <si>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</si>
  <si>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</si>
  <si>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</si>
  <si>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</si>
  <si>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</si>
  <si>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</si>
  <si>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</si>
  <si>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</si>
  <si>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</si>
  <si>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</si>
  <si>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</si>
  <si>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</si>
  <si>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</si>
  <si>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</si>
  <si>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</si>
  <si>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</si>
  <si>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</si>
  <si>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</si>
  <si>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</si>
  <si>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</si>
  <si>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</si>
  <si>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</si>
  <si>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</si>
  <si>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</si>
  <si>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</si>
  <si>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</si>
  <si>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</si>
  <si>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</si>
  <si>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</si>
  <si>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</si>
  <si>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</si>
  <si>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</si>
  <si>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</si>
  <si>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</si>
  <si>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</si>
  <si>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</si>
  <si>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</si>
  <si>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</si>
  <si>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</si>
  <si>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</si>
  <si>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</si>
  <si>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</si>
  <si>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</si>
  <si>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</si>
  <si>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</si>
  <si>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</si>
  <si>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</si>
  <si>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</si>
  <si>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</si>
  <si>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</si>
  <si>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</si>
  <si>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</si>
  <si>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</si>
  <si>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</si>
  <si>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</si>
  <si>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</si>
  <si>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</si>
  <si>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</si>
  <si>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</si>
  <si>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</si>
  <si>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</si>
  <si>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</si>
  <si>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</si>
  <si>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</si>
  <si>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</si>
  <si>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</si>
  <si>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</si>
  <si>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</si>
  <si>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</si>
  <si>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</si>
  <si>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</si>
  <si>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</si>
  <si>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</si>
  <si>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</si>
  <si>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</si>
  <si>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</si>
  <si>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</si>
  <si>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</si>
  <si>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</si>
  <si>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</si>
  <si>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</si>
  <si>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</si>
  <si>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</si>
  <si>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</si>
  <si>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</si>
  <si>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</si>
  <si>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</si>
  <si>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</si>
  <si>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</si>
  <si>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</si>
  <si>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</si>
  <si>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</si>
  <si>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</si>
  <si>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</si>
  <si>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</si>
  <si>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</si>
  <si>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</si>
  <si>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</si>
  <si>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</si>
  <si>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</si>
  <si>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</si>
  <si>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</si>
  <si>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</si>
  <si>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</si>
  <si>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</si>
  <si>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</si>
  <si>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</si>
  <si>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</si>
  <si>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</si>
  <si>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</si>
  <si>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</si>
  <si>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</si>
  <si>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</si>
  <si>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</si>
  <si>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</si>
  <si>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</si>
  <si>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</si>
  <si>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</si>
  <si>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</si>
  <si>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</si>
  <si>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</si>
  <si>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</si>
  <si>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</si>
  <si>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</si>
  <si>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</si>
  <si>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</si>
  <si>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</si>
  <si>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</si>
  <si>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</si>
  <si>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</si>
  <si>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</si>
  <si>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</si>
  <si>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</si>
  <si>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</si>
  <si>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</si>
  <si>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</si>
  <si>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</si>
  <si>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</si>
  <si>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</si>
  <si>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</si>
  <si>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</si>
  <si>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</si>
  <si>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</si>
  <si>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</si>
  <si>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</si>
  <si>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</si>
  <si>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</si>
  <si>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</si>
  <si>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</si>
  <si>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</si>
  <si>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</si>
  <si>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</si>
  <si>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</si>
  <si>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</si>
  <si>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</si>
  <si>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</si>
  <si>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</si>
  <si>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</si>
  <si>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</si>
  <si>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</si>
  <si>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</si>
  <si>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</si>
  <si>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</si>
  <si>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</si>
  <si>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</si>
  <si>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</si>
  <si>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</si>
  <si>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</si>
  <si>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</si>
  <si>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</si>
  <si>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</si>
  <si>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</si>
  <si>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</si>
  <si>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</si>
  <si>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</si>
  <si>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</si>
  <si>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</si>
  <si>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</si>
  <si>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</si>
  <si>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</si>
  <si>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</si>
  <si>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</si>
  <si>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</si>
  <si>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</si>
  <si>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</si>
  <si>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</si>
  <si>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</si>
  <si>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</si>
  <si>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</si>
  <si>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</si>
  <si>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</si>
  <si>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</si>
  <si>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</si>
  <si>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</si>
  <si>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</si>
  <si>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</si>
  <si>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</si>
  <si>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</si>
  <si>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</si>
  <si>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</si>
  <si>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</si>
  <si>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</si>
  <si>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</si>
  <si>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</si>
  <si>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</si>
  <si>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</si>
  <si>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</si>
  <si>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</si>
  <si>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</si>
  <si>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</si>
  <si>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</si>
  <si>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</si>
  <si>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</si>
  <si>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</si>
  <si>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</si>
  <si>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</si>
  <si>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</si>
  <si>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</si>
  <si>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</si>
  <si>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</si>
  <si>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</si>
  <si>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</si>
  <si>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</si>
  <si>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</si>
  <si>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</si>
  <si>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</si>
  <si>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</si>
  <si>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</si>
  <si>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</si>
  <si>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</si>
  <si>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</si>
  <si>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</si>
  <si>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</si>
  <si>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</si>
  <si>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</si>
  <si>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</si>
  <si>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</si>
  <si>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</si>
  <si>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</si>
  <si>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</si>
  <si>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</si>
  <si>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</si>
  <si>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</si>
  <si>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</si>
  <si>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</si>
  <si>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</si>
  <si>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</si>
  <si>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</si>
  <si>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</si>
  <si>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</si>
  <si>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</si>
  <si>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</si>
  <si>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</si>
  <si>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</si>
  <si>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</si>
  <si>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</si>
  <si>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</si>
  <si>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</si>
  <si>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</si>
  <si>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</si>
  <si>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</si>
  <si>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</si>
  <si>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</si>
  <si>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</si>
  <si>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</si>
  <si>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</si>
  <si>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</si>
  <si>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</si>
  <si>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</si>
  <si>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</si>
  <si>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</si>
  <si>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</si>
  <si>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</si>
  <si>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</si>
  <si>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</si>
  <si>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</si>
  <si>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</si>
  <si>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</si>
  <si>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</si>
  <si>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</si>
  <si>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</si>
  <si>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</si>
  <si>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</si>
  <si>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</si>
  <si>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</si>
  <si>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</si>
  <si>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</si>
  <si>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</si>
  <si>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</si>
  <si>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</si>
  <si>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</si>
  <si>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</si>
  <si>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</si>
  <si>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</si>
  <si>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</si>
  <si>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</si>
  <si>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</si>
  <si>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</si>
  <si>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</si>
  <si>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</si>
  <si>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</si>
  <si>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</si>
  <si>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</si>
  <si>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</si>
  <si>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</si>
  <si>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</si>
  <si>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</si>
  <si>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</si>
  <si>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</si>
  <si>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</si>
  <si>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</si>
  <si>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</si>
  <si>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</si>
  <si>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Soma de Total Value</t>
  </si>
  <si>
    <t>Total Minecraft Season Pass</t>
  </si>
  <si>
    <t>Total EA Play Season Pass</t>
  </si>
  <si>
    <t xml:space="preserve"> XBOX GAME PASS SUBSCRIPTIONS SALES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</si>
  <si>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</si>
  <si>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</si>
  <si>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</si>
  <si>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</si>
  <si>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Rótulos de Linha</t>
  </si>
  <si>
    <t>Período compreendido: 01/01/2025 à 30/12/2025         Última alteração: 30/12/2025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</si>
</sst>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rgb="FF22C55E"/>
      <name val="Segoe UI"/>
      <family val="2"/>
    </font>
    <font>
      <b/>
      <sz val="26"/>
      <color theme="3"/>
      <name val="Segoe UI"/>
      <family val="2"/>
    </font>
    <font>
      <sz val="11"/>
      <color theme="2" tint="-0.74999237037263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 applyAlignment="1">
      <alignment horizontal="left" indent="7"/>
    </xf>
    <xf numFmtId="0" fontId="5" fillId="0" borderId="2" xfId="1" applyFont="1" applyBorder="1"/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6"/>
        </bottom>
        <vertical/>
        <horizontal/>
      </border>
    </dxf>
    <dxf>
      <font>
        <b/>
        <i val="0"/>
        <color theme="1"/>
      </font>
      <fill>
        <patternFill>
          <fgColor auto="1"/>
          <bgColor rgb="FF22C55E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1" xr9:uid="{B4800635-A562-477D-A3AB-0DA5BFE190E6}"/>
    <tableStyle name="SlicerStyleLight3 2" pivot="0" table="0" count="10" xr9:uid="{33F2890F-A1A1-4C46-8D09-37613694A7E1}">
      <tableStyleElement type="wholeTable" dxfId="15"/>
      <tableStyleElement type="headerRow" dxfId="14"/>
    </tableStyle>
  </tableStyles>
  <colors>
    <mruColors>
      <color rgb="FF2AE6B1"/>
      <color rgb="FF22C55E"/>
      <color rgb="FFE8E6E9"/>
      <color rgb="FF5BF6A8"/>
      <color rgb="FF275317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rgb="FF5BF6A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5BF6A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hoveredSelectedItemWithData" dxfId="8"/>
          </x14:slicerStyleElements>
        </x14:slicerStyle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[dashboard_xbox_Projeto.xlsx]C̳álculos!Valor EA Play Season Pass</c:name>
    <c:fmtId val="0"/>
  </c:pivotSource>
  <c:chart>
    <c:autoTitleDeleted val="1"/>
    <c:pivotFmts>
      <c:pivotFmt>
        <c:idx val="0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462003134480605E-2"/>
          <c:y val="8.6234567901234571E-2"/>
          <c:w val="0.75234592992779481"/>
          <c:h val="0.827530864197530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C̳álculos!$B$20:$B$23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C̳álculos!$C$20:$C$23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9-40A2-B1FF-AE462342C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216416"/>
        <c:axId val="855216896"/>
      </c:barChart>
      <c:valAx>
        <c:axId val="8552168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855216416"/>
        <c:crosses val="autoZero"/>
        <c:crossBetween val="between"/>
      </c:valAx>
      <c:catAx>
        <c:axId val="855216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21689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[dashboard_xbox_Projeto.xlsx]C̳álculos!Valor Minecraft Season Pass</c:name>
    <c:fmtId val="0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9462003134480605E-2"/>
          <c:y val="8.6234567901234571E-2"/>
          <c:w val="0.75799564660414209"/>
          <c:h val="0.827530864197530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C̳álculos!$B$32:$B$35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C̳álculos!$C$32:$C$35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540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F-472D-85F2-992E129FF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9082608"/>
        <c:axId val="1659076368"/>
      </c:barChart>
      <c:catAx>
        <c:axId val="165908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9076368"/>
        <c:crosses val="autoZero"/>
        <c:auto val="1"/>
        <c:lblAlgn val="ctr"/>
        <c:lblOffset val="100"/>
        <c:noMultiLvlLbl val="0"/>
      </c:catAx>
      <c:valAx>
        <c:axId val="16590763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5908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[dashboard_xbox_Projeto.xlsx]C̳álculos!Tabela dinâmica1</c:name>
    <c:fmtId val="0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483465258542288E-2"/>
          <c:y val="5.0925925925925923E-2"/>
          <c:w val="0.87773524356886223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1-4BAC-AE26-F8F48869A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2975103"/>
        <c:axId val="1152975583"/>
      </c:barChart>
      <c:catAx>
        <c:axId val="115297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2975583"/>
        <c:crosses val="autoZero"/>
        <c:auto val="1"/>
        <c:lblAlgn val="ctr"/>
        <c:lblOffset val="100"/>
        <c:noMultiLvlLbl val="0"/>
      </c:catAx>
      <c:valAx>
        <c:axId val="11529755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5297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[dashboard_xbox_Projeto.xlsx]C̳álculos!Valor EA Play Season Pass</c:name>
    <c:fmtId val="9"/>
  </c:pivotSource>
  <c:chart>
    <c:autoTitleDeleted val="1"/>
    <c:pivotFmts>
      <c:pivotFmt>
        <c:idx val="0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73038644341178"/>
          <c:y val="8.6234567901234571E-2"/>
          <c:w val="0.73307761268807758"/>
          <c:h val="0.827530864197530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C̳álculos!$B$20:$B$23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C̳álculos!$C$20:$C$23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2-4116-B9F0-66275970B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216416"/>
        <c:axId val="855216896"/>
      </c:barChart>
      <c:valAx>
        <c:axId val="8552168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855216416"/>
        <c:crosses val="autoZero"/>
        <c:crossBetween val="between"/>
      </c:valAx>
      <c:catAx>
        <c:axId val="855216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21689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[dashboard_xbox_Projeto.xlsx]C̳álculos!Valor Minecraft Season Pass</c:name>
    <c:fmtId val="4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02722289311999"/>
          <c:y val="8.6234567901234571E-2"/>
          <c:w val="0.73443041566179601"/>
          <c:h val="0.827530864197530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C̳álculos!$B$32:$B$35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C̳álculos!$C$32:$C$35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540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2-493E-92CE-C3E69252B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9082608"/>
        <c:axId val="1659076368"/>
      </c:barChart>
      <c:catAx>
        <c:axId val="165908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9076368"/>
        <c:crosses val="autoZero"/>
        <c:auto val="1"/>
        <c:lblAlgn val="ctr"/>
        <c:lblOffset val="100"/>
        <c:noMultiLvlLbl val="0"/>
      </c:catAx>
      <c:valAx>
        <c:axId val="16590763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5908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[dashboard_xbox_Projeto.xlsx]C̳álculos!Tabela dinâmica1</c:name>
    <c:fmtId val="3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483465258542288E-2"/>
          <c:y val="5.0925925925925923E-2"/>
          <c:w val="0.84289270006566641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9-4911-AE2C-70FB5F7B2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2975103"/>
        <c:axId val="1152975583"/>
      </c:barChart>
      <c:catAx>
        <c:axId val="115297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2975583"/>
        <c:crosses val="autoZero"/>
        <c:auto val="1"/>
        <c:lblAlgn val="ctr"/>
        <c:lblOffset val="100"/>
        <c:noMultiLvlLbl val="0"/>
      </c:catAx>
      <c:valAx>
        <c:axId val="11529755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5297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4.xml"/><Relationship Id="rId7" Type="http://schemas.openxmlformats.org/officeDocument/2006/relationships/image" Target="../media/image9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5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</xdr:col>
      <xdr:colOff>319086</xdr:colOff>
      <xdr:row>13</xdr:row>
      <xdr:rowOff>161925</xdr:rowOff>
    </xdr:from>
    <xdr:to>
      <xdr:col>8</xdr:col>
      <xdr:colOff>1233487</xdr:colOff>
      <xdr:row>22</xdr:row>
      <xdr:rowOff>67425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06A53D6-D952-0AE2-D018-653F8E046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342898</xdr:colOff>
      <xdr:row>26</xdr:row>
      <xdr:rowOff>133350</xdr:rowOff>
    </xdr:from>
    <xdr:to>
      <xdr:col>8</xdr:col>
      <xdr:colOff>1257299</xdr:colOff>
      <xdr:row>35</xdr:row>
      <xdr:rowOff>38850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F22D920-2A23-EFFE-0B26-5D1D9E930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114300</xdr:rowOff>
    </xdr:to>
    <xdr:sp macro="" textlink="">
      <xdr:nvSpPr>
        <xdr:cNvPr id="11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1ED4721-BAF3-4EAD-B4E2-6DD32220AA05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114300</xdr:rowOff>
    </xdr:to>
    <xdr:sp macro="" textlink="">
      <xdr:nvSpPr>
        <xdr:cNvPr id="12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204CACE2-215E-4783-92D9-7256AA15C2EA}"/>
            </a:ext>
          </a:extLst>
        </xdr:cNvPr>
        <xdr:cNvSpPr>
          <a:spLocks noChangeAspect="1" noChangeArrowheads="1"/>
        </xdr:cNvSpPr>
      </xdr:nvSpPr>
      <xdr:spPr bwMode="auto">
        <a:xfrm>
          <a:off x="17907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380999</xdr:colOff>
      <xdr:row>4</xdr:row>
      <xdr:rowOff>114300</xdr:rowOff>
    </xdr:from>
    <xdr:to>
      <xdr:col>9</xdr:col>
      <xdr:colOff>371474</xdr:colOff>
      <xdr:row>12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EF9D0C-BBA0-9A40-5343-CA1A7417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119063</xdr:colOff>
      <xdr:row>11</xdr:row>
      <xdr:rowOff>83344</xdr:rowOff>
    </xdr:from>
    <xdr:to>
      <xdr:col>0</xdr:col>
      <xdr:colOff>1947863</xdr:colOff>
      <xdr:row>18</xdr:row>
      <xdr:rowOff>11906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">
              <a:extLst>
                <a:ext uri="{FF2B5EF4-FFF2-40B4-BE49-F238E27FC236}">
                  <a16:creationId xmlns:a16="http://schemas.microsoft.com/office/drawing/2014/main" id="{DCBEAEBA-9024-478A-9E51-6E4672C2F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3" y="2643961"/>
              <a:ext cx="1828800" cy="12274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1</xdr:col>
      <xdr:colOff>59531</xdr:colOff>
      <xdr:row>0</xdr:row>
      <xdr:rowOff>0</xdr:rowOff>
    </xdr:from>
    <xdr:to>
      <xdr:col>2</xdr:col>
      <xdr:colOff>355245</xdr:colOff>
      <xdr:row>2</xdr:row>
      <xdr:rowOff>60457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DC2FBD5D-8429-8949-22FC-45898DF01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0"/>
          <a:ext cx="902933" cy="95342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0</xdr:row>
      <xdr:rowOff>416719</xdr:rowOff>
    </xdr:from>
    <xdr:to>
      <xdr:col>0</xdr:col>
      <xdr:colOff>1821656</xdr:colOff>
      <xdr:row>7</xdr:row>
      <xdr:rowOff>107156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1052FDC6-1061-0F49-23E3-38D2AEA1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416719"/>
          <a:ext cx="1535906" cy="1535906"/>
        </a:xfrm>
        <a:prstGeom prst="rect">
          <a:avLst/>
        </a:prstGeom>
      </xdr:spPr>
    </xdr:pic>
    <xdr:clientData/>
  </xdr:twoCellAnchor>
  <xdr:twoCellAnchor>
    <xdr:from>
      <xdr:col>0</xdr:col>
      <xdr:colOff>250031</xdr:colOff>
      <xdr:row>7</xdr:row>
      <xdr:rowOff>190499</xdr:rowOff>
    </xdr:from>
    <xdr:to>
      <xdr:col>0</xdr:col>
      <xdr:colOff>1964530</xdr:colOff>
      <xdr:row>9</xdr:row>
      <xdr:rowOff>35718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DF39F632-66B2-966A-21CD-897864643775}"/>
            </a:ext>
          </a:extLst>
        </xdr:cNvPr>
        <xdr:cNvSpPr txBox="1"/>
      </xdr:nvSpPr>
      <xdr:spPr>
        <a:xfrm>
          <a:off x="250031" y="2035968"/>
          <a:ext cx="1714499" cy="22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Bemvindo,</a:t>
          </a:r>
          <a:r>
            <a:rPr lang="pt-BR" sz="1200" b="1" baseline="0">
              <a:solidFill>
                <a:schemeClr val="bg1"/>
              </a:solidFill>
            </a:rPr>
            <a:t> Examinador !!!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</xdr:col>
      <xdr:colOff>320502</xdr:colOff>
      <xdr:row>24</xdr:row>
      <xdr:rowOff>54965</xdr:rowOff>
    </xdr:from>
    <xdr:to>
      <xdr:col>12</xdr:col>
      <xdr:colOff>0</xdr:colOff>
      <xdr:row>36</xdr:row>
      <xdr:rowOff>126402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319949BC-BF62-C0E0-7930-6CCD395FFAB1}"/>
            </a:ext>
          </a:extLst>
        </xdr:cNvPr>
        <xdr:cNvGrpSpPr/>
      </xdr:nvGrpSpPr>
      <xdr:grpSpPr>
        <a:xfrm>
          <a:off x="2373944" y="5027757"/>
          <a:ext cx="6173816" cy="2298061"/>
          <a:chOff x="2365202" y="2759075"/>
          <a:chExt cx="6219998" cy="2357437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F3864A48-49BD-C80D-BC27-521FA60DB6AF}"/>
              </a:ext>
            </a:extLst>
          </xdr:cNvPr>
          <xdr:cNvGrpSpPr/>
        </xdr:nvGrpSpPr>
        <xdr:grpSpPr>
          <a:xfrm>
            <a:off x="2366169" y="2759075"/>
            <a:ext cx="6219031" cy="2357437"/>
            <a:chOff x="2369344" y="2750344"/>
            <a:chExt cx="6191250" cy="2357437"/>
          </a:xfrm>
        </xdr:grpSpPr>
        <xdr:sp macro="" textlink="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1DABA731-ADCD-ACD7-7042-FA63064DFDD1}"/>
                </a:ext>
              </a:extLst>
            </xdr:cNvPr>
            <xdr:cNvSpPr/>
          </xdr:nvSpPr>
          <xdr:spPr>
            <a:xfrm>
              <a:off x="2369344" y="2750344"/>
              <a:ext cx="6191250" cy="2357437"/>
            </a:xfrm>
            <a:prstGeom prst="roundRect">
              <a:avLst>
                <a:gd name="adj" fmla="val 404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5A49BE9D-1621-4BEA-A4CE-B310F63E4C44}"/>
                </a:ext>
              </a:extLst>
            </xdr:cNvPr>
            <xdr:cNvGraphicFramePr>
              <a:graphicFrameLocks/>
            </xdr:cNvGraphicFramePr>
          </xdr:nvGraphicFramePr>
          <xdr:xfrm>
            <a:off x="2464598" y="3405185"/>
            <a:ext cx="5905495" cy="162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44" name="Retângulo: Cantos Superiores Arredondados 43">
            <a:extLst>
              <a:ext uri="{FF2B5EF4-FFF2-40B4-BE49-F238E27FC236}">
                <a16:creationId xmlns:a16="http://schemas.microsoft.com/office/drawing/2014/main" id="{509F99F4-AA42-38FE-022D-0DE1A91508E8}"/>
              </a:ext>
            </a:extLst>
          </xdr:cNvPr>
          <xdr:cNvSpPr/>
        </xdr:nvSpPr>
        <xdr:spPr>
          <a:xfrm>
            <a:off x="2365202" y="2770660"/>
            <a:ext cx="6215364" cy="50649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Total EA Play Season Pass by plan</a:t>
            </a:r>
          </a:p>
        </xdr:txBody>
      </xdr:sp>
    </xdr:grpSp>
    <xdr:clientData/>
  </xdr:twoCellAnchor>
  <xdr:twoCellAnchor editAs="absolute">
    <xdr:from>
      <xdr:col>12</xdr:col>
      <xdr:colOff>296046</xdr:colOff>
      <xdr:row>24</xdr:row>
      <xdr:rowOff>54965</xdr:rowOff>
    </xdr:from>
    <xdr:to>
      <xdr:col>22</xdr:col>
      <xdr:colOff>420846</xdr:colOff>
      <xdr:row>36</xdr:row>
      <xdr:rowOff>126724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98A15ACA-52F3-E502-E75E-FE0EC06F9709}"/>
            </a:ext>
          </a:extLst>
        </xdr:cNvPr>
        <xdr:cNvGrpSpPr/>
      </xdr:nvGrpSpPr>
      <xdr:grpSpPr>
        <a:xfrm>
          <a:off x="8843806" y="5027757"/>
          <a:ext cx="6186163" cy="2298383"/>
          <a:chOff x="8881247" y="2770659"/>
          <a:chExt cx="6216677" cy="2357759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CF5A9B46-9B22-9954-9155-31B9A9A42356}"/>
              </a:ext>
            </a:extLst>
          </xdr:cNvPr>
          <xdr:cNvGrpSpPr/>
        </xdr:nvGrpSpPr>
        <xdr:grpSpPr>
          <a:xfrm>
            <a:off x="8882861" y="2770981"/>
            <a:ext cx="6215063" cy="2357437"/>
            <a:chOff x="9096380" y="2750344"/>
            <a:chExt cx="6191250" cy="2357437"/>
          </a:xfrm>
        </xdr:grpSpPr>
        <xdr:sp macro="" textlink="">
          <xdr:nvSpPr>
            <xdr:cNvPr id="31" name="Retângulo: Cantos Arredondados 30">
              <a:extLst>
                <a:ext uri="{FF2B5EF4-FFF2-40B4-BE49-F238E27FC236}">
                  <a16:creationId xmlns:a16="http://schemas.microsoft.com/office/drawing/2014/main" id="{E195158C-F7EE-4FCA-A9CF-A38986AAFD2F}"/>
                </a:ext>
              </a:extLst>
            </xdr:cNvPr>
            <xdr:cNvSpPr/>
          </xdr:nvSpPr>
          <xdr:spPr>
            <a:xfrm>
              <a:off x="9096380" y="2750344"/>
              <a:ext cx="6191250" cy="2357437"/>
            </a:xfrm>
            <a:prstGeom prst="roundRect">
              <a:avLst>
                <a:gd name="adj" fmla="val 404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71F90F34-4D2B-4FC9-B9E2-DF9DC9D784AB}"/>
                </a:ext>
              </a:extLst>
            </xdr:cNvPr>
            <xdr:cNvGraphicFramePr>
              <a:graphicFrameLocks/>
            </xdr:cNvGraphicFramePr>
          </xdr:nvGraphicFramePr>
          <xdr:xfrm>
            <a:off x="9298791" y="3405185"/>
            <a:ext cx="5905495" cy="162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46" name="Retângulo: Cantos Superiores Arredondados 45">
            <a:extLst>
              <a:ext uri="{FF2B5EF4-FFF2-40B4-BE49-F238E27FC236}">
                <a16:creationId xmlns:a16="http://schemas.microsoft.com/office/drawing/2014/main" id="{6B2304FA-E2DC-4AB2-BE38-EC4D9DE38C38}"/>
              </a:ext>
            </a:extLst>
          </xdr:cNvPr>
          <xdr:cNvSpPr/>
        </xdr:nvSpPr>
        <xdr:spPr>
          <a:xfrm>
            <a:off x="8881247" y="2770659"/>
            <a:ext cx="6206696" cy="506499"/>
          </a:xfrm>
          <a:prstGeom prst="round2SameRect">
            <a:avLst/>
          </a:prstGeom>
          <a:solidFill>
            <a:srgbClr val="22C55E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20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Minecraft Season Pass by plan</a:t>
            </a:r>
          </a:p>
        </xdr:txBody>
      </xdr:sp>
    </xdr:grpSp>
    <xdr:clientData/>
  </xdr:twoCellAnchor>
  <xdr:twoCellAnchor>
    <xdr:from>
      <xdr:col>1</xdr:col>
      <xdr:colOff>318584</xdr:colOff>
      <xdr:row>15</xdr:row>
      <xdr:rowOff>146570</xdr:rowOff>
    </xdr:from>
    <xdr:to>
      <xdr:col>12</xdr:col>
      <xdr:colOff>522</xdr:colOff>
      <xdr:row>24</xdr:row>
      <xdr:rowOff>25939</xdr:rowOff>
    </xdr:to>
    <xdr:grpSp>
      <xdr:nvGrpSpPr>
        <xdr:cNvPr id="76" name="Agrupar 75">
          <a:extLst>
            <a:ext uri="{FF2B5EF4-FFF2-40B4-BE49-F238E27FC236}">
              <a16:creationId xmlns:a16="http://schemas.microsoft.com/office/drawing/2014/main" id="{21F75AC2-8F4C-31C0-A336-5A85275C5A62}"/>
            </a:ext>
          </a:extLst>
        </xdr:cNvPr>
        <xdr:cNvGrpSpPr/>
      </xdr:nvGrpSpPr>
      <xdr:grpSpPr>
        <a:xfrm>
          <a:off x="2372026" y="3449395"/>
          <a:ext cx="6176256" cy="1549336"/>
          <a:chOff x="2372026" y="4092637"/>
          <a:chExt cx="6176256" cy="1549336"/>
        </a:xfrm>
      </xdr:grpSpPr>
      <xdr:grpSp>
        <xdr:nvGrpSpPr>
          <xdr:cNvPr id="65" name="Agrupar 64">
            <a:extLst>
              <a:ext uri="{FF2B5EF4-FFF2-40B4-BE49-F238E27FC236}">
                <a16:creationId xmlns:a16="http://schemas.microsoft.com/office/drawing/2014/main" id="{D7C18C54-4C55-258A-864B-72FCD3040295}"/>
              </a:ext>
            </a:extLst>
          </xdr:cNvPr>
          <xdr:cNvGrpSpPr/>
        </xdr:nvGrpSpPr>
        <xdr:grpSpPr>
          <a:xfrm>
            <a:off x="2372026" y="4092637"/>
            <a:ext cx="6176256" cy="1549336"/>
            <a:chOff x="2361627" y="2081143"/>
            <a:chExt cx="6197591" cy="1611008"/>
          </a:xfrm>
        </xdr:grpSpPr>
        <xdr:sp macro="" textlink="">
          <xdr:nvSpPr>
            <xdr:cNvPr id="49" name="Retângulo: Cantos Arredondados 48">
              <a:extLst>
                <a:ext uri="{FF2B5EF4-FFF2-40B4-BE49-F238E27FC236}">
                  <a16:creationId xmlns:a16="http://schemas.microsoft.com/office/drawing/2014/main" id="{3D039312-2AE3-43C6-AC41-9AD7BA996C65}"/>
                </a:ext>
              </a:extLst>
            </xdr:cNvPr>
            <xdr:cNvSpPr/>
          </xdr:nvSpPr>
          <xdr:spPr>
            <a:xfrm>
              <a:off x="2362591" y="2081143"/>
              <a:ext cx="6196627" cy="1480055"/>
            </a:xfrm>
            <a:prstGeom prst="roundRect">
              <a:avLst>
                <a:gd name="adj" fmla="val 4041"/>
              </a:avLst>
            </a:prstGeom>
            <a:solidFill>
              <a:sysClr val="window" lastClr="FFFFFF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endParaRPr>
            </a:p>
          </xdr:txBody>
        </xdr:sp>
        <xdr:sp macro="" textlink="">
          <xdr:nvSpPr>
            <xdr:cNvPr id="45" name="Retângulo: Cantos Superiores Arredondados 44">
              <a:extLst>
                <a:ext uri="{FF2B5EF4-FFF2-40B4-BE49-F238E27FC236}">
                  <a16:creationId xmlns:a16="http://schemas.microsoft.com/office/drawing/2014/main" id="{222765CA-8EDF-F5DA-D35D-FD13AE9AE2D8}"/>
                </a:ext>
              </a:extLst>
            </xdr:cNvPr>
            <xdr:cNvSpPr/>
          </xdr:nvSpPr>
          <xdr:spPr>
            <a:xfrm>
              <a:off x="2361627" y="2092891"/>
              <a:ext cx="6192974" cy="513617"/>
            </a:xfrm>
            <a:prstGeom prst="round2SameRect">
              <a:avLst/>
            </a:prstGeom>
            <a:solidFill>
              <a:srgbClr val="22C55E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000" b="1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EA Play Season Pass</a:t>
              </a:r>
            </a:p>
          </xdr:txBody>
        </xdr:sp>
        <xdr:pic>
          <xdr:nvPicPr>
            <xdr:cNvPr id="61" name="Imagem 60">
              <a:extLst>
                <a:ext uri="{FF2B5EF4-FFF2-40B4-BE49-F238E27FC236}">
                  <a16:creationId xmlns:a16="http://schemas.microsoft.com/office/drawing/2014/main" id="{1FD40784-FD1A-46F7-827A-E57E2E8210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499670" y="2467665"/>
              <a:ext cx="1223565" cy="1224486"/>
            </a:xfrm>
            <a:prstGeom prst="rect">
              <a:avLst/>
            </a:prstGeom>
          </xdr:spPr>
        </xdr:pic>
      </xdr:grpSp>
      <xdr:sp macro="" textlink="C̳álculos!D23">
        <xdr:nvSpPr>
          <xdr:cNvPr id="68" name="Retângulo: Cantos Arredondados 67">
            <a:extLst>
              <a:ext uri="{FF2B5EF4-FFF2-40B4-BE49-F238E27FC236}">
                <a16:creationId xmlns:a16="http://schemas.microsoft.com/office/drawing/2014/main" id="{278090B7-DC97-45CF-BEA1-5687152CD785}"/>
              </a:ext>
            </a:extLst>
          </xdr:cNvPr>
          <xdr:cNvSpPr/>
        </xdr:nvSpPr>
        <xdr:spPr>
          <a:xfrm>
            <a:off x="4143993" y="4638799"/>
            <a:ext cx="4329546" cy="82879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6E8E5F31-FE0B-4613-91BA-34CC9F140E4F}" type="TxLink">
              <a:rPr lang="en-US" sz="3600" b="1" i="0" u="none" strike="noStrike">
                <a:solidFill>
                  <a:srgbClr val="2AE6B1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l"/>
              <a:t> R$ 600,00 </a:t>
            </a:fld>
            <a:endParaRPr lang="pt-BR" sz="3600" b="1">
              <a:solidFill>
                <a:srgbClr val="2AE6B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294128</xdr:colOff>
      <xdr:row>15</xdr:row>
      <xdr:rowOff>146570</xdr:rowOff>
    </xdr:from>
    <xdr:to>
      <xdr:col>22</xdr:col>
      <xdr:colOff>418928</xdr:colOff>
      <xdr:row>23</xdr:row>
      <xdr:rowOff>88572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F8A05B9C-2ADB-D71B-A7E2-A8EE7FC9600C}"/>
            </a:ext>
          </a:extLst>
        </xdr:cNvPr>
        <xdr:cNvGrpSpPr/>
      </xdr:nvGrpSpPr>
      <xdr:grpSpPr>
        <a:xfrm>
          <a:off x="8841888" y="3449395"/>
          <a:ext cx="6186163" cy="1426417"/>
          <a:chOff x="8841888" y="4092637"/>
          <a:chExt cx="6186163" cy="1426417"/>
        </a:xfrm>
      </xdr:grpSpPr>
      <xdr:grpSp>
        <xdr:nvGrpSpPr>
          <xdr:cNvPr id="66" name="Agrupar 65">
            <a:extLst>
              <a:ext uri="{FF2B5EF4-FFF2-40B4-BE49-F238E27FC236}">
                <a16:creationId xmlns:a16="http://schemas.microsoft.com/office/drawing/2014/main" id="{1CB5E1B6-490B-90E2-C7B0-AF663E86843F}"/>
              </a:ext>
            </a:extLst>
          </xdr:cNvPr>
          <xdr:cNvGrpSpPr/>
        </xdr:nvGrpSpPr>
        <xdr:grpSpPr>
          <a:xfrm>
            <a:off x="8841888" y="4092637"/>
            <a:ext cx="6186163" cy="1426417"/>
            <a:chOff x="8852824" y="2081143"/>
            <a:chExt cx="6198713" cy="1480380"/>
          </a:xfrm>
        </xdr:grpSpPr>
        <xdr:sp macro="" textlink="">
          <xdr:nvSpPr>
            <xdr:cNvPr id="54" name="Retângulo: Cantos Arredondados 53">
              <a:extLst>
                <a:ext uri="{FF2B5EF4-FFF2-40B4-BE49-F238E27FC236}">
                  <a16:creationId xmlns:a16="http://schemas.microsoft.com/office/drawing/2014/main" id="{807BD53D-3B1D-70B3-F640-4BFFF6EC5034}"/>
                </a:ext>
              </a:extLst>
            </xdr:cNvPr>
            <xdr:cNvSpPr/>
          </xdr:nvSpPr>
          <xdr:spPr>
            <a:xfrm>
              <a:off x="8854433" y="2081471"/>
              <a:ext cx="6197104" cy="1480052"/>
            </a:xfrm>
            <a:prstGeom prst="roundRect">
              <a:avLst>
                <a:gd name="adj" fmla="val 4041"/>
              </a:avLst>
            </a:prstGeom>
            <a:solidFill>
              <a:sysClr val="window" lastClr="FFFFFF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endParaRPr>
            </a:p>
          </xdr:txBody>
        </xdr:sp>
        <xdr:sp macro="" textlink="">
          <xdr:nvSpPr>
            <xdr:cNvPr id="53" name="Retângulo: Cantos Superiores Arredondados 52">
              <a:extLst>
                <a:ext uri="{FF2B5EF4-FFF2-40B4-BE49-F238E27FC236}">
                  <a16:creationId xmlns:a16="http://schemas.microsoft.com/office/drawing/2014/main" id="{87146D06-160C-2E0C-7C87-75658FB6C88C}"/>
                </a:ext>
              </a:extLst>
            </xdr:cNvPr>
            <xdr:cNvSpPr/>
          </xdr:nvSpPr>
          <xdr:spPr>
            <a:xfrm>
              <a:off x="8852824" y="2081143"/>
              <a:ext cx="6188761" cy="513616"/>
            </a:xfrm>
            <a:prstGeom prst="round2SameRect">
              <a:avLst/>
            </a:prstGeom>
            <a:solidFill>
              <a:srgbClr val="22C55E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000" b="1" i="0" u="none" strike="noStrike" kern="0" cap="none" spc="0" normalizeH="0" baseline="0" noProof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Minecraft Season Pass</a:t>
              </a:r>
            </a:p>
          </xdr:txBody>
        </xdr:sp>
        <xdr:grpSp>
          <xdr:nvGrpSpPr>
            <xdr:cNvPr id="62" name="Agrupar 61">
              <a:extLst>
                <a:ext uri="{FF2B5EF4-FFF2-40B4-BE49-F238E27FC236}">
                  <a16:creationId xmlns:a16="http://schemas.microsoft.com/office/drawing/2014/main" id="{E37B04AD-1025-4AA7-A7A5-B5146530839B}"/>
                </a:ext>
              </a:extLst>
            </xdr:cNvPr>
            <xdr:cNvGrpSpPr/>
          </xdr:nvGrpSpPr>
          <xdr:grpSpPr>
            <a:xfrm>
              <a:off x="8935650" y="2716143"/>
              <a:ext cx="1549476" cy="752476"/>
              <a:chOff x="3495675" y="5400674"/>
              <a:chExt cx="1549476" cy="752476"/>
            </a:xfrm>
          </xdr:grpSpPr>
          <xdr:pic>
            <xdr:nvPicPr>
              <xdr:cNvPr id="63" name="Imagem 62">
                <a:extLst>
                  <a:ext uri="{FF2B5EF4-FFF2-40B4-BE49-F238E27FC236}">
                    <a16:creationId xmlns:a16="http://schemas.microsoft.com/office/drawing/2014/main" id="{D8708484-1C2D-D6EE-EBE3-BB64DC2DD73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64" name="Gráfico 63">
                <a:extLst>
                  <a:ext uri="{FF2B5EF4-FFF2-40B4-BE49-F238E27FC236}">
                    <a16:creationId xmlns:a16="http://schemas.microsoft.com/office/drawing/2014/main" id="{01D2F10B-AE23-E681-7347-0D9A53713CA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>
                <a:extLst>
                  <a:ext uri="{96DAC541-7B7A-43D3-8B79-37D633B846F1}">
                    <asvg:svgBlip xmlns:asvg="http://schemas.microsoft.com/office/drawing/2016/SVG/main" r:embed="rId8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C̳álculos!D35">
        <xdr:nvSpPr>
          <xdr:cNvPr id="69" name="Retângulo: Cantos Arredondados 68">
            <a:extLst>
              <a:ext uri="{FF2B5EF4-FFF2-40B4-BE49-F238E27FC236}">
                <a16:creationId xmlns:a16="http://schemas.microsoft.com/office/drawing/2014/main" id="{26C9EFBE-8C77-419C-B0A6-A8E4F8EA84D1}"/>
              </a:ext>
            </a:extLst>
          </xdr:cNvPr>
          <xdr:cNvSpPr/>
        </xdr:nvSpPr>
        <xdr:spPr>
          <a:xfrm>
            <a:off x="10613570" y="4638799"/>
            <a:ext cx="4329546" cy="82879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395172A7-1527-4124-98D4-5C69F28A2906}" type="TxLink">
              <a:rPr lang="en-US" sz="3600" b="1" i="0" u="none" strike="noStrike" noProof="0" smtClean="0">
                <a:solidFill>
                  <a:srgbClr val="2AE6B1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 R$ 940,00 </a:t>
            </a:fld>
            <a:endParaRPr lang="pt-BR" sz="3600" b="1" i="0" u="none" strike="noStrike" noProof="0">
              <a:solidFill>
                <a:srgbClr val="2AE6B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346362</xdr:colOff>
      <xdr:row>4</xdr:row>
      <xdr:rowOff>136072</xdr:rowOff>
    </xdr:from>
    <xdr:to>
      <xdr:col>22</xdr:col>
      <xdr:colOff>420584</xdr:colOff>
      <xdr:row>14</xdr:row>
      <xdr:rowOff>148441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DEEF9AAB-5A8C-E804-D6CE-80D705D2C139}"/>
            </a:ext>
          </a:extLst>
        </xdr:cNvPr>
        <xdr:cNvGrpSpPr/>
      </xdr:nvGrpSpPr>
      <xdr:grpSpPr>
        <a:xfrm>
          <a:off x="2399804" y="1397825"/>
          <a:ext cx="12629903" cy="1867889"/>
          <a:chOff x="2399804" y="1397825"/>
          <a:chExt cx="12629903" cy="1867889"/>
        </a:xfrm>
      </xdr:grpSpPr>
      <xdr:sp macro="" textlink="">
        <xdr:nvSpPr>
          <xdr:cNvPr id="71" name="Retângulo: Cantos Arredondados 70">
            <a:extLst>
              <a:ext uri="{FF2B5EF4-FFF2-40B4-BE49-F238E27FC236}">
                <a16:creationId xmlns:a16="http://schemas.microsoft.com/office/drawing/2014/main" id="{61A7C7CD-E190-CBFC-1581-80E97B79791F}"/>
              </a:ext>
            </a:extLst>
          </xdr:cNvPr>
          <xdr:cNvSpPr/>
        </xdr:nvSpPr>
        <xdr:spPr>
          <a:xfrm>
            <a:off x="2401769" y="1397825"/>
            <a:ext cx="12627938" cy="1843149"/>
          </a:xfrm>
          <a:prstGeom prst="roundRect">
            <a:avLst>
              <a:gd name="adj" fmla="val 4041"/>
            </a:avLst>
          </a:prstGeom>
          <a:solidFill>
            <a:sysClr val="window" lastClr="FFFFFF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endParaRPr>
          </a:p>
        </xdr:txBody>
      </xdr:sp>
      <xdr:sp macro="" textlink="">
        <xdr:nvSpPr>
          <xdr:cNvPr id="72" name="Retângulo: Cantos Superiores Arredondados 71">
            <a:extLst>
              <a:ext uri="{FF2B5EF4-FFF2-40B4-BE49-F238E27FC236}">
                <a16:creationId xmlns:a16="http://schemas.microsoft.com/office/drawing/2014/main" id="{9B8C3CB1-2CE9-326C-B82D-7F1F84398E05}"/>
              </a:ext>
            </a:extLst>
          </xdr:cNvPr>
          <xdr:cNvSpPr/>
        </xdr:nvSpPr>
        <xdr:spPr>
          <a:xfrm>
            <a:off x="2399804" y="1409123"/>
            <a:ext cx="12620494" cy="493955"/>
          </a:xfrm>
          <a:prstGeom prst="round2SameRect">
            <a:avLst/>
          </a:prstGeom>
          <a:solidFill>
            <a:srgbClr val="22C55E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20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 GAME PASS</a:t>
            </a:r>
          </a:p>
        </xdr:txBody>
      </xdr:sp>
      <xdr:graphicFrame macro="">
        <xdr:nvGraphicFramePr>
          <xdr:cNvPr id="74" name="Gráfico 73">
            <a:extLst>
              <a:ext uri="{FF2B5EF4-FFF2-40B4-BE49-F238E27FC236}">
                <a16:creationId xmlns:a16="http://schemas.microsoft.com/office/drawing/2014/main" id="{16B7131D-9E62-4AA7-A700-0E388277B955}"/>
              </a:ext>
            </a:extLst>
          </xdr:cNvPr>
          <xdr:cNvGraphicFramePr>
            <a:graphicFrameLocks/>
          </xdr:cNvGraphicFramePr>
        </xdr:nvGraphicFramePr>
        <xdr:xfrm>
          <a:off x="2587321" y="1942111"/>
          <a:ext cx="12392906" cy="13236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lton Sergio Alves Riciopo" refreshedDate="46020.813616203704" createdVersion="8" refreshedVersion="8" minRefreshableVersion="3" recordCount="295" xr:uid="{AC3F4ABB-B617-4CBC-B47D-BC601689588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565217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x v="0"/>
    <x v="0"/>
    <n v="5"/>
    <n v="60"/>
  </r>
  <r>
    <n v="3232"/>
    <s v="Maria Oliveira"/>
    <x v="1"/>
    <d v="2024-01-15T00:00:00"/>
    <x v="1"/>
    <x v="1"/>
    <x v="1"/>
    <x v="1"/>
    <x v="1"/>
    <x v="1"/>
    <x v="1"/>
    <n v="0"/>
    <n v="5"/>
  </r>
  <r>
    <n v="3233"/>
    <s v="Lucas Fernandes"/>
    <x v="2"/>
    <d v="2024-02-10T00:00:00"/>
    <x v="0"/>
    <x v="2"/>
    <x v="2"/>
    <x v="1"/>
    <x v="1"/>
    <x v="0"/>
    <x v="0"/>
    <n v="10"/>
    <n v="20"/>
  </r>
  <r>
    <n v="3234"/>
    <s v="Ana Souza"/>
    <x v="0"/>
    <d v="2024-02-20T00:00:00"/>
    <x v="1"/>
    <x v="0"/>
    <x v="0"/>
    <x v="0"/>
    <x v="0"/>
    <x v="0"/>
    <x v="0"/>
    <n v="3"/>
    <n v="62"/>
  </r>
  <r>
    <n v="3235"/>
    <s v="Pedro Gonçalves"/>
    <x v="1"/>
    <d v="2024-03-05T00:00:00"/>
    <x v="0"/>
    <x v="1"/>
    <x v="0"/>
    <x v="1"/>
    <x v="1"/>
    <x v="1"/>
    <x v="1"/>
    <n v="1"/>
    <n v="4"/>
  </r>
  <r>
    <n v="3236"/>
    <s v="Felipe Costa"/>
    <x v="2"/>
    <d v="2024-03-02T00:00:00"/>
    <x v="1"/>
    <x v="2"/>
    <x v="0"/>
    <x v="1"/>
    <x v="1"/>
    <x v="0"/>
    <x v="0"/>
    <n v="2"/>
    <n v="28"/>
  </r>
  <r>
    <n v="3237"/>
    <s v="Camila Ribeiro"/>
    <x v="0"/>
    <d v="2024-03-03T00:00:00"/>
    <x v="0"/>
    <x v="0"/>
    <x v="2"/>
    <x v="0"/>
    <x v="0"/>
    <x v="0"/>
    <x v="0"/>
    <n v="10"/>
    <n v="55"/>
  </r>
  <r>
    <n v="3238"/>
    <s v="André Mendes"/>
    <x v="1"/>
    <d v="2024-03-04T00:00:00"/>
    <x v="0"/>
    <x v="1"/>
    <x v="1"/>
    <x v="1"/>
    <x v="1"/>
    <x v="1"/>
    <x v="1"/>
    <n v="0"/>
    <n v="5"/>
  </r>
  <r>
    <n v="3239"/>
    <s v="Sofia Almeida"/>
    <x v="0"/>
    <d v="2024-03-05T00:00:00"/>
    <x v="1"/>
    <x v="0"/>
    <x v="0"/>
    <x v="0"/>
    <x v="0"/>
    <x v="0"/>
    <x v="0"/>
    <n v="5"/>
    <n v="60"/>
  </r>
  <r>
    <n v="3240"/>
    <s v="Bruno Martins"/>
    <x v="2"/>
    <d v="2024-03-06T00:00:00"/>
    <x v="0"/>
    <x v="2"/>
    <x v="2"/>
    <x v="1"/>
    <x v="1"/>
    <x v="0"/>
    <x v="0"/>
    <n v="15"/>
    <n v="15"/>
  </r>
  <r>
    <n v="3241"/>
    <s v="Rita Castro"/>
    <x v="1"/>
    <d v="2024-03-07T00:00:00"/>
    <x v="1"/>
    <x v="1"/>
    <x v="0"/>
    <x v="1"/>
    <x v="1"/>
    <x v="1"/>
    <x v="1"/>
    <n v="1"/>
    <n v="4"/>
  </r>
  <r>
    <n v="3242"/>
    <s v="Marco Túlio"/>
    <x v="0"/>
    <d v="2024-03-08T00:00:00"/>
    <x v="0"/>
    <x v="0"/>
    <x v="1"/>
    <x v="0"/>
    <x v="0"/>
    <x v="0"/>
    <x v="0"/>
    <n v="20"/>
    <n v="45"/>
  </r>
  <r>
    <n v="3243"/>
    <s v="Lívia Silveira"/>
    <x v="2"/>
    <d v="2024-03-09T00:00:00"/>
    <x v="1"/>
    <x v="2"/>
    <x v="0"/>
    <x v="1"/>
    <x v="1"/>
    <x v="0"/>
    <x v="0"/>
    <n v="10"/>
    <n v="20"/>
  </r>
  <r>
    <n v="3244"/>
    <s v="Diogo Sousa"/>
    <x v="1"/>
    <d v="2024-03-10T00:00:00"/>
    <x v="0"/>
    <x v="1"/>
    <x v="2"/>
    <x v="1"/>
    <x v="1"/>
    <x v="1"/>
    <x v="1"/>
    <n v="0"/>
    <n v="5"/>
  </r>
  <r>
    <n v="3245"/>
    <s v="Fernanda Lima"/>
    <x v="0"/>
    <d v="2024-03-11T00:00:00"/>
    <x v="1"/>
    <x v="0"/>
    <x v="0"/>
    <x v="0"/>
    <x v="0"/>
    <x v="0"/>
    <x v="0"/>
    <n v="8"/>
    <n v="57"/>
  </r>
  <r>
    <n v="3246"/>
    <s v="Caio Pereira"/>
    <x v="2"/>
    <d v="2024-03-12T00:00:00"/>
    <x v="0"/>
    <x v="2"/>
    <x v="1"/>
    <x v="1"/>
    <x v="1"/>
    <x v="0"/>
    <x v="0"/>
    <n v="12"/>
    <n v="18"/>
  </r>
  <r>
    <n v="3247"/>
    <s v="Beatriz Gomes"/>
    <x v="1"/>
    <d v="2024-03-13T00:00:00"/>
    <x v="1"/>
    <x v="1"/>
    <x v="0"/>
    <x v="1"/>
    <x v="1"/>
    <x v="1"/>
    <x v="1"/>
    <n v="2"/>
    <n v="3"/>
  </r>
  <r>
    <n v="3248"/>
    <s v="Cesar Oliveira"/>
    <x v="0"/>
    <d v="2024-03-14T00:00:00"/>
    <x v="0"/>
    <x v="0"/>
    <x v="2"/>
    <x v="0"/>
    <x v="0"/>
    <x v="0"/>
    <x v="0"/>
    <n v="7"/>
    <n v="58"/>
  </r>
  <r>
    <n v="3249"/>
    <s v="Débora Machado"/>
    <x v="2"/>
    <d v="2024-03-15T00:00:00"/>
    <x v="1"/>
    <x v="2"/>
    <x v="0"/>
    <x v="1"/>
    <x v="1"/>
    <x v="0"/>
    <x v="0"/>
    <n v="5"/>
    <n v="25"/>
  </r>
  <r>
    <n v="3250"/>
    <s v="Eduardo Vargas"/>
    <x v="1"/>
    <d v="2024-03-16T00:00:00"/>
    <x v="0"/>
    <x v="1"/>
    <x v="1"/>
    <x v="1"/>
    <x v="1"/>
    <x v="1"/>
    <x v="1"/>
    <n v="0"/>
    <n v="5"/>
  </r>
  <r>
    <n v="3251"/>
    <s v="Gabriela Santos"/>
    <x v="0"/>
    <d v="2024-03-17T00:00:00"/>
    <x v="1"/>
    <x v="0"/>
    <x v="0"/>
    <x v="0"/>
    <x v="0"/>
    <x v="0"/>
    <x v="0"/>
    <n v="3"/>
    <n v="62"/>
  </r>
  <r>
    <n v="3252"/>
    <s v="Henrique Dias"/>
    <x v="2"/>
    <d v="2024-03-18T00:00:00"/>
    <x v="0"/>
    <x v="2"/>
    <x v="2"/>
    <x v="1"/>
    <x v="1"/>
    <x v="0"/>
    <x v="0"/>
    <n v="15"/>
    <n v="15"/>
  </r>
  <r>
    <n v="3253"/>
    <s v="Isabela Moreira"/>
    <x v="1"/>
    <d v="2024-03-19T00:00:00"/>
    <x v="1"/>
    <x v="1"/>
    <x v="0"/>
    <x v="1"/>
    <x v="1"/>
    <x v="1"/>
    <x v="1"/>
    <n v="1"/>
    <n v="4"/>
  </r>
  <r>
    <n v="3254"/>
    <s v="Joaquim Barbosa"/>
    <x v="0"/>
    <d v="2024-03-20T00:00:00"/>
    <x v="0"/>
    <x v="0"/>
    <x v="1"/>
    <x v="0"/>
    <x v="0"/>
    <x v="0"/>
    <x v="0"/>
    <n v="20"/>
    <n v="45"/>
  </r>
  <r>
    <n v="3255"/>
    <s v="Lara Rocha"/>
    <x v="2"/>
    <d v="2024-03-21T00:00:00"/>
    <x v="1"/>
    <x v="2"/>
    <x v="0"/>
    <x v="1"/>
    <x v="1"/>
    <x v="0"/>
    <x v="0"/>
    <n v="10"/>
    <n v="20"/>
  </r>
  <r>
    <n v="3256"/>
    <s v="Matheus Silva"/>
    <x v="1"/>
    <d v="2024-03-22T00:00:00"/>
    <x v="0"/>
    <x v="1"/>
    <x v="2"/>
    <x v="1"/>
    <x v="1"/>
    <x v="1"/>
    <x v="1"/>
    <n v="0"/>
    <n v="5"/>
  </r>
  <r>
    <n v="3257"/>
    <s v="Nicole Costa"/>
    <x v="0"/>
    <d v="2024-03-23T00:00:00"/>
    <x v="1"/>
    <x v="0"/>
    <x v="0"/>
    <x v="0"/>
    <x v="0"/>
    <x v="0"/>
    <x v="0"/>
    <n v="5"/>
    <n v="60"/>
  </r>
  <r>
    <n v="3258"/>
    <s v="Otávio Mendonça"/>
    <x v="2"/>
    <d v="2024-03-24T00:00:00"/>
    <x v="0"/>
    <x v="2"/>
    <x v="1"/>
    <x v="1"/>
    <x v="1"/>
    <x v="0"/>
    <x v="0"/>
    <n v="15"/>
    <n v="15"/>
  </r>
  <r>
    <n v="3259"/>
    <s v="Paula Ferreira"/>
    <x v="1"/>
    <d v="2024-03-25T00:00:00"/>
    <x v="1"/>
    <x v="1"/>
    <x v="0"/>
    <x v="1"/>
    <x v="1"/>
    <x v="1"/>
    <x v="1"/>
    <n v="1"/>
    <n v="4"/>
  </r>
  <r>
    <n v="3260"/>
    <s v="Raquel Alves"/>
    <x v="0"/>
    <d v="2024-03-26T00:00:00"/>
    <x v="0"/>
    <x v="0"/>
    <x v="2"/>
    <x v="0"/>
    <x v="0"/>
    <x v="0"/>
    <x v="0"/>
    <n v="7"/>
    <n v="58"/>
  </r>
  <r>
    <n v="3261"/>
    <s v="Samuel Pires"/>
    <x v="2"/>
    <d v="2024-03-27T00:00:00"/>
    <x v="1"/>
    <x v="2"/>
    <x v="0"/>
    <x v="1"/>
    <x v="1"/>
    <x v="0"/>
    <x v="0"/>
    <n v="10"/>
    <n v="20"/>
  </r>
  <r>
    <n v="3262"/>
    <s v="Tânia Barros"/>
    <x v="1"/>
    <d v="2024-03-28T00:00:00"/>
    <x v="0"/>
    <x v="1"/>
    <x v="1"/>
    <x v="1"/>
    <x v="1"/>
    <x v="1"/>
    <x v="1"/>
    <n v="0"/>
    <n v="5"/>
  </r>
  <r>
    <n v="3263"/>
    <s v="Vinicius Lima"/>
    <x v="0"/>
    <d v="2024-03-29T00:00:00"/>
    <x v="1"/>
    <x v="0"/>
    <x v="0"/>
    <x v="0"/>
    <x v="0"/>
    <x v="0"/>
    <x v="0"/>
    <n v="3"/>
    <n v="62"/>
  </r>
  <r>
    <n v="3264"/>
    <s v="Yasmin Teixeira"/>
    <x v="2"/>
    <d v="2024-03-30T00:00:00"/>
    <x v="0"/>
    <x v="2"/>
    <x v="2"/>
    <x v="1"/>
    <x v="1"/>
    <x v="0"/>
    <x v="0"/>
    <n v="15"/>
    <n v="15"/>
  </r>
  <r>
    <n v="3265"/>
    <s v="Zé Carlos"/>
    <x v="1"/>
    <d v="2024-03-31T00:00:00"/>
    <x v="1"/>
    <x v="1"/>
    <x v="0"/>
    <x v="1"/>
    <x v="1"/>
    <x v="1"/>
    <x v="1"/>
    <n v="1"/>
    <n v="4"/>
  </r>
  <r>
    <n v="3266"/>
    <s v="Amanda Nogueira"/>
    <x v="1"/>
    <d v="2024-04-01T00:00:00"/>
    <x v="0"/>
    <x v="1"/>
    <x v="0"/>
    <x v="1"/>
    <x v="1"/>
    <x v="1"/>
    <x v="1"/>
    <n v="0"/>
    <n v="5"/>
  </r>
  <r>
    <n v="3267"/>
    <s v="Bruno Cavalheiro"/>
    <x v="0"/>
    <d v="2024-04-02T00:00:00"/>
    <x v="1"/>
    <x v="0"/>
    <x v="2"/>
    <x v="0"/>
    <x v="0"/>
    <x v="0"/>
    <x v="0"/>
    <n v="7"/>
    <n v="58"/>
  </r>
  <r>
    <n v="3268"/>
    <s v="Carla Dias"/>
    <x v="2"/>
    <d v="2024-04-03T00:00:00"/>
    <x v="0"/>
    <x v="2"/>
    <x v="1"/>
    <x v="1"/>
    <x v="1"/>
    <x v="0"/>
    <x v="0"/>
    <n v="10"/>
    <n v="20"/>
  </r>
  <r>
    <n v="3269"/>
    <s v="Diego Fontes"/>
    <x v="1"/>
    <d v="2024-04-04T00:00:00"/>
    <x v="1"/>
    <x v="1"/>
    <x v="2"/>
    <x v="1"/>
    <x v="1"/>
    <x v="1"/>
    <x v="1"/>
    <n v="1"/>
    <n v="4"/>
  </r>
  <r>
    <n v="3270"/>
    <s v="Eunice Lima"/>
    <x v="0"/>
    <d v="2024-04-05T00:00:00"/>
    <x v="0"/>
    <x v="0"/>
    <x v="0"/>
    <x v="0"/>
    <x v="0"/>
    <x v="0"/>
    <x v="0"/>
    <n v="15"/>
    <n v="50"/>
  </r>
  <r>
    <n v="3271"/>
    <s v="Fábio Martins"/>
    <x v="2"/>
    <d v="2024-04-06T00:00:00"/>
    <x v="1"/>
    <x v="2"/>
    <x v="0"/>
    <x v="1"/>
    <x v="1"/>
    <x v="0"/>
    <x v="0"/>
    <n v="5"/>
    <n v="25"/>
  </r>
  <r>
    <n v="3272"/>
    <s v="Gisele Araújo"/>
    <x v="1"/>
    <d v="2024-04-07T00:00:00"/>
    <x v="0"/>
    <x v="1"/>
    <x v="1"/>
    <x v="1"/>
    <x v="1"/>
    <x v="1"/>
    <x v="1"/>
    <n v="0"/>
    <n v="5"/>
  </r>
  <r>
    <n v="3273"/>
    <s v="Hélio Castro"/>
    <x v="0"/>
    <d v="2024-04-08T00:00:00"/>
    <x v="1"/>
    <x v="0"/>
    <x v="2"/>
    <x v="0"/>
    <x v="0"/>
    <x v="0"/>
    <x v="0"/>
    <n v="20"/>
    <n v="45"/>
  </r>
  <r>
    <n v="3274"/>
    <s v="Ingrid Menezes"/>
    <x v="2"/>
    <d v="2024-04-09T00:00:00"/>
    <x v="0"/>
    <x v="2"/>
    <x v="2"/>
    <x v="1"/>
    <x v="1"/>
    <x v="0"/>
    <x v="0"/>
    <n v="12"/>
    <n v="18"/>
  </r>
  <r>
    <n v="3275"/>
    <s v="Jorge Baptista"/>
    <x v="1"/>
    <d v="2024-04-10T00:00:00"/>
    <x v="1"/>
    <x v="1"/>
    <x v="0"/>
    <x v="1"/>
    <x v="1"/>
    <x v="1"/>
    <x v="1"/>
    <n v="2"/>
    <n v="3"/>
  </r>
  <r>
    <n v="3276"/>
    <s v="Kléber Oliveira"/>
    <x v="0"/>
    <d v="2024-04-11T00:00:00"/>
    <x v="0"/>
    <x v="0"/>
    <x v="1"/>
    <x v="0"/>
    <x v="0"/>
    <x v="0"/>
    <x v="0"/>
    <n v="5"/>
    <n v="60"/>
  </r>
  <r>
    <n v="3277"/>
    <s v="Luciana Freitas"/>
    <x v="2"/>
    <d v="2024-04-12T00:00:00"/>
    <x v="1"/>
    <x v="2"/>
    <x v="0"/>
    <x v="1"/>
    <x v="1"/>
    <x v="0"/>
    <x v="0"/>
    <n v="10"/>
    <n v="20"/>
  </r>
  <r>
    <n v="3278"/>
    <s v="Márcia Eller"/>
    <x v="1"/>
    <d v="2024-04-13T00:00:00"/>
    <x v="0"/>
    <x v="1"/>
    <x v="2"/>
    <x v="1"/>
    <x v="1"/>
    <x v="1"/>
    <x v="1"/>
    <n v="0"/>
    <n v="5"/>
  </r>
  <r>
    <n v="3279"/>
    <s v="Nilo Peçanha"/>
    <x v="0"/>
    <d v="2024-04-14T00:00:00"/>
    <x v="1"/>
    <x v="0"/>
    <x v="0"/>
    <x v="0"/>
    <x v="0"/>
    <x v="0"/>
    <x v="0"/>
    <n v="3"/>
    <n v="62"/>
  </r>
  <r>
    <n v="3280"/>
    <s v="Oscar Neves"/>
    <x v="2"/>
    <d v="2024-04-15T00:00:00"/>
    <x v="0"/>
    <x v="2"/>
    <x v="1"/>
    <x v="1"/>
    <x v="1"/>
    <x v="0"/>
    <x v="0"/>
    <n v="15"/>
    <n v="15"/>
  </r>
  <r>
    <n v="3281"/>
    <s v="Patrícia Soares"/>
    <x v="1"/>
    <d v="2024-04-16T00:00:00"/>
    <x v="1"/>
    <x v="1"/>
    <x v="0"/>
    <x v="1"/>
    <x v="1"/>
    <x v="1"/>
    <x v="1"/>
    <n v="1"/>
    <n v="4"/>
  </r>
  <r>
    <n v="3282"/>
    <s v="Quirino Gonçalves"/>
    <x v="0"/>
    <d v="2024-04-17T00:00:00"/>
    <x v="0"/>
    <x v="0"/>
    <x v="2"/>
    <x v="0"/>
    <x v="0"/>
    <x v="0"/>
    <x v="0"/>
    <n v="7"/>
    <n v="58"/>
  </r>
  <r>
    <n v="3283"/>
    <s v="Raul Machado"/>
    <x v="2"/>
    <d v="2024-04-18T00:00:00"/>
    <x v="1"/>
    <x v="2"/>
    <x v="0"/>
    <x v="1"/>
    <x v="1"/>
    <x v="0"/>
    <x v="0"/>
    <n v="10"/>
    <n v="20"/>
  </r>
  <r>
    <n v="3284"/>
    <s v="Sônia Lobo"/>
    <x v="1"/>
    <d v="2024-04-19T00:00:00"/>
    <x v="0"/>
    <x v="1"/>
    <x v="1"/>
    <x v="1"/>
    <x v="1"/>
    <x v="1"/>
    <x v="1"/>
    <n v="0"/>
    <n v="5"/>
  </r>
  <r>
    <n v="3285"/>
    <s v="Tiago Ramos"/>
    <x v="0"/>
    <d v="2024-04-20T00:00:00"/>
    <x v="1"/>
    <x v="0"/>
    <x v="0"/>
    <x v="0"/>
    <x v="0"/>
    <x v="0"/>
    <x v="0"/>
    <n v="20"/>
    <n v="45"/>
  </r>
  <r>
    <n v="3286"/>
    <s v="Ugo Pires"/>
    <x v="2"/>
    <d v="2024-04-21T00:00:00"/>
    <x v="0"/>
    <x v="2"/>
    <x v="2"/>
    <x v="1"/>
    <x v="1"/>
    <x v="0"/>
    <x v="0"/>
    <n v="15"/>
    <n v="15"/>
  </r>
  <r>
    <n v="3287"/>
    <s v="Valéria Nobre"/>
    <x v="1"/>
    <d v="2024-04-22T00:00:00"/>
    <x v="1"/>
    <x v="1"/>
    <x v="0"/>
    <x v="1"/>
    <x v="1"/>
    <x v="1"/>
    <x v="1"/>
    <n v="1"/>
    <n v="4"/>
  </r>
  <r>
    <n v="3288"/>
    <s v="William Siqueira"/>
    <x v="0"/>
    <d v="2024-04-23T00:00:00"/>
    <x v="0"/>
    <x v="0"/>
    <x v="1"/>
    <x v="0"/>
    <x v="0"/>
    <x v="0"/>
    <x v="0"/>
    <n v="3"/>
    <n v="62"/>
  </r>
  <r>
    <n v="3289"/>
    <s v="Xuxa Meneghel"/>
    <x v="2"/>
    <d v="2024-04-24T00:00:00"/>
    <x v="1"/>
    <x v="2"/>
    <x v="0"/>
    <x v="1"/>
    <x v="1"/>
    <x v="0"/>
    <x v="0"/>
    <n v="10"/>
    <n v="20"/>
  </r>
  <r>
    <n v="3290"/>
    <s v="Yara Figueiredo"/>
    <x v="1"/>
    <d v="2024-04-25T00:00:00"/>
    <x v="0"/>
    <x v="1"/>
    <x v="2"/>
    <x v="1"/>
    <x v="1"/>
    <x v="1"/>
    <x v="1"/>
    <n v="0"/>
    <n v="5"/>
  </r>
  <r>
    <n v="3291"/>
    <s v="Zacarias Alves"/>
    <x v="0"/>
    <d v="2024-04-26T00:00:00"/>
    <x v="1"/>
    <x v="0"/>
    <x v="0"/>
    <x v="0"/>
    <x v="0"/>
    <x v="0"/>
    <x v="0"/>
    <n v="5"/>
    <n v="60"/>
  </r>
  <r>
    <n v="3292"/>
    <s v="Amanda Bynes"/>
    <x v="2"/>
    <d v="2024-04-27T00:00:00"/>
    <x v="0"/>
    <x v="2"/>
    <x v="1"/>
    <x v="1"/>
    <x v="1"/>
    <x v="0"/>
    <x v="0"/>
    <n v="15"/>
    <n v="15"/>
  </r>
  <r>
    <n v="3293"/>
    <s v="Bruno Mars"/>
    <x v="1"/>
    <d v="2024-04-28T00:00:00"/>
    <x v="1"/>
    <x v="1"/>
    <x v="0"/>
    <x v="1"/>
    <x v="1"/>
    <x v="1"/>
    <x v="1"/>
    <n v="1"/>
    <n v="4"/>
  </r>
  <r>
    <n v="3294"/>
    <s v="Carla Bruni"/>
    <x v="0"/>
    <d v="2024-04-29T00:00:00"/>
    <x v="0"/>
    <x v="0"/>
    <x v="2"/>
    <x v="0"/>
    <x v="0"/>
    <x v="0"/>
    <x v="0"/>
    <n v="20"/>
    <n v="45"/>
  </r>
  <r>
    <n v="3295"/>
    <s v="Diego Maradona"/>
    <x v="2"/>
    <d v="2024-04-30T00:00:00"/>
    <x v="1"/>
    <x v="2"/>
    <x v="0"/>
    <x v="1"/>
    <x v="1"/>
    <x v="0"/>
    <x v="0"/>
    <n v="5"/>
    <n v="25"/>
  </r>
  <r>
    <n v="3296"/>
    <s v="Estela Marques"/>
    <x v="1"/>
    <d v="2024-05-01T00:00:00"/>
    <x v="1"/>
    <x v="1"/>
    <x v="0"/>
    <x v="1"/>
    <x v="1"/>
    <x v="1"/>
    <x v="1"/>
    <n v="0"/>
    <n v="5"/>
  </r>
  <r>
    <n v="3297"/>
    <s v="Fábio Nobre"/>
    <x v="0"/>
    <d v="2024-05-02T00:00:00"/>
    <x v="0"/>
    <x v="0"/>
    <x v="2"/>
    <x v="0"/>
    <x v="0"/>
    <x v="0"/>
    <x v="0"/>
    <n v="7"/>
    <n v="58"/>
  </r>
  <r>
    <n v="3298"/>
    <s v="Gabriel Oliveira"/>
    <x v="2"/>
    <d v="2024-05-03T00:00:00"/>
    <x v="1"/>
    <x v="2"/>
    <x v="1"/>
    <x v="1"/>
    <x v="1"/>
    <x v="0"/>
    <x v="0"/>
    <n v="10"/>
    <n v="20"/>
  </r>
  <r>
    <n v="3299"/>
    <s v="Helena Santos"/>
    <x v="1"/>
    <d v="2024-05-04T00:00:00"/>
    <x v="0"/>
    <x v="1"/>
    <x v="2"/>
    <x v="1"/>
    <x v="1"/>
    <x v="1"/>
    <x v="1"/>
    <n v="1"/>
    <n v="4"/>
  </r>
  <r>
    <n v="3300"/>
    <s v="Ivan Carvalho"/>
    <x v="0"/>
    <d v="2024-05-05T00:00:00"/>
    <x v="1"/>
    <x v="0"/>
    <x v="0"/>
    <x v="0"/>
    <x v="0"/>
    <x v="0"/>
    <x v="0"/>
    <n v="15"/>
    <n v="50"/>
  </r>
  <r>
    <n v="3301"/>
    <s v="Júlia Ferreira"/>
    <x v="2"/>
    <d v="2024-05-06T00:00:00"/>
    <x v="0"/>
    <x v="2"/>
    <x v="0"/>
    <x v="1"/>
    <x v="1"/>
    <x v="0"/>
    <x v="0"/>
    <n v="5"/>
    <n v="25"/>
  </r>
  <r>
    <n v="3302"/>
    <s v="Karla Alves"/>
    <x v="1"/>
    <d v="2024-05-07T00:00:00"/>
    <x v="1"/>
    <x v="1"/>
    <x v="1"/>
    <x v="1"/>
    <x v="1"/>
    <x v="1"/>
    <x v="1"/>
    <n v="0"/>
    <n v="5"/>
  </r>
  <r>
    <n v="3303"/>
    <s v="Lucas Mendes"/>
    <x v="0"/>
    <d v="2024-05-08T00:00:00"/>
    <x v="0"/>
    <x v="0"/>
    <x v="2"/>
    <x v="0"/>
    <x v="0"/>
    <x v="0"/>
    <x v="0"/>
    <n v="20"/>
    <n v="45"/>
  </r>
  <r>
    <n v="3304"/>
    <s v="Mônica Gomes"/>
    <x v="2"/>
    <d v="2024-05-09T00:00:00"/>
    <x v="1"/>
    <x v="2"/>
    <x v="2"/>
    <x v="1"/>
    <x v="1"/>
    <x v="0"/>
    <x v="0"/>
    <n v="12"/>
    <n v="18"/>
  </r>
  <r>
    <n v="3305"/>
    <s v="Norberto Queiroz"/>
    <x v="1"/>
    <d v="2024-05-10T00:00:00"/>
    <x v="0"/>
    <x v="1"/>
    <x v="0"/>
    <x v="1"/>
    <x v="1"/>
    <x v="1"/>
    <x v="1"/>
    <n v="2"/>
    <n v="3"/>
  </r>
  <r>
    <n v="3306"/>
    <s v="Otávio Barros"/>
    <x v="0"/>
    <d v="2024-05-11T00:00:00"/>
    <x v="1"/>
    <x v="0"/>
    <x v="1"/>
    <x v="0"/>
    <x v="0"/>
    <x v="0"/>
    <x v="0"/>
    <n v="5"/>
    <n v="60"/>
  </r>
  <r>
    <n v="3307"/>
    <s v="Paula Vieira"/>
    <x v="2"/>
    <d v="2024-05-12T00:00:00"/>
    <x v="0"/>
    <x v="2"/>
    <x v="0"/>
    <x v="1"/>
    <x v="1"/>
    <x v="0"/>
    <x v="0"/>
    <n v="10"/>
    <n v="20"/>
  </r>
  <r>
    <n v="3308"/>
    <s v="Quentin Ramos"/>
    <x v="1"/>
    <d v="2024-05-13T00:00:00"/>
    <x v="1"/>
    <x v="1"/>
    <x v="2"/>
    <x v="1"/>
    <x v="1"/>
    <x v="1"/>
    <x v="1"/>
    <n v="0"/>
    <n v="5"/>
  </r>
  <r>
    <n v="3309"/>
    <s v="Raquel Novaes"/>
    <x v="0"/>
    <d v="2024-05-14T00:00:00"/>
    <x v="0"/>
    <x v="0"/>
    <x v="0"/>
    <x v="0"/>
    <x v="0"/>
    <x v="0"/>
    <x v="0"/>
    <n v="3"/>
    <n v="62"/>
  </r>
  <r>
    <n v="3310"/>
    <s v="Samantha Lopes"/>
    <x v="2"/>
    <d v="2024-05-15T00:00:00"/>
    <x v="1"/>
    <x v="2"/>
    <x v="1"/>
    <x v="1"/>
    <x v="1"/>
    <x v="0"/>
    <x v="0"/>
    <n v="15"/>
    <n v="15"/>
  </r>
  <r>
    <n v="3311"/>
    <s v="Tiago Martins"/>
    <x v="1"/>
    <d v="2024-05-16T00:00:00"/>
    <x v="0"/>
    <x v="1"/>
    <x v="0"/>
    <x v="1"/>
    <x v="1"/>
    <x v="1"/>
    <x v="1"/>
    <n v="1"/>
    <n v="4"/>
  </r>
  <r>
    <n v="3312"/>
    <s v="Ulysses Guimarães"/>
    <x v="0"/>
    <d v="2024-05-17T00:00:00"/>
    <x v="1"/>
    <x v="0"/>
    <x v="2"/>
    <x v="0"/>
    <x v="0"/>
    <x v="0"/>
    <x v="0"/>
    <n v="7"/>
    <n v="58"/>
  </r>
  <r>
    <n v="3313"/>
    <s v="Vanessa Silva"/>
    <x v="2"/>
    <d v="2024-05-18T00:00:00"/>
    <x v="0"/>
    <x v="2"/>
    <x v="0"/>
    <x v="1"/>
    <x v="1"/>
    <x v="0"/>
    <x v="0"/>
    <n v="10"/>
    <n v="20"/>
  </r>
  <r>
    <n v="3314"/>
    <s v="William Carneiro"/>
    <x v="1"/>
    <d v="2024-05-19T00:00:00"/>
    <x v="1"/>
    <x v="1"/>
    <x v="1"/>
    <x v="1"/>
    <x v="1"/>
    <x v="1"/>
    <x v="1"/>
    <n v="0"/>
    <n v="5"/>
  </r>
  <r>
    <n v="3315"/>
    <s v="Ximena Rocha"/>
    <x v="0"/>
    <d v="2024-05-20T00:00:00"/>
    <x v="0"/>
    <x v="0"/>
    <x v="0"/>
    <x v="0"/>
    <x v="0"/>
    <x v="0"/>
    <x v="0"/>
    <n v="20"/>
    <n v="45"/>
  </r>
  <r>
    <n v="3316"/>
    <s v="Yasmin Figueiredo"/>
    <x v="2"/>
    <d v="2024-05-21T00:00:00"/>
    <x v="1"/>
    <x v="2"/>
    <x v="2"/>
    <x v="1"/>
    <x v="1"/>
    <x v="0"/>
    <x v="0"/>
    <n v="15"/>
    <n v="15"/>
  </r>
  <r>
    <n v="3317"/>
    <s v="Zara Cunha"/>
    <x v="1"/>
    <d v="2024-05-22T00:00:00"/>
    <x v="0"/>
    <x v="1"/>
    <x v="0"/>
    <x v="1"/>
    <x v="1"/>
    <x v="1"/>
    <x v="1"/>
    <n v="1"/>
    <n v="4"/>
  </r>
  <r>
    <n v="3318"/>
    <s v="Alan Teixeira"/>
    <x v="0"/>
    <d v="2024-05-23T00:00:00"/>
    <x v="1"/>
    <x v="0"/>
    <x v="1"/>
    <x v="0"/>
    <x v="0"/>
    <x v="0"/>
    <x v="0"/>
    <n v="3"/>
    <n v="62"/>
  </r>
  <r>
    <n v="3319"/>
    <s v="Bárbara Oliveira"/>
    <x v="2"/>
    <d v="2024-05-24T00:00:00"/>
    <x v="0"/>
    <x v="2"/>
    <x v="0"/>
    <x v="1"/>
    <x v="1"/>
    <x v="0"/>
    <x v="0"/>
    <n v="10"/>
    <n v="20"/>
  </r>
  <r>
    <n v="3320"/>
    <s v="Carlos Junqueira"/>
    <x v="1"/>
    <d v="2024-05-25T00:00:00"/>
    <x v="1"/>
    <x v="1"/>
    <x v="2"/>
    <x v="1"/>
    <x v="1"/>
    <x v="1"/>
    <x v="1"/>
    <n v="0"/>
    <n v="5"/>
  </r>
  <r>
    <n v="3321"/>
    <s v="Daniela Moura"/>
    <x v="0"/>
    <d v="2024-05-26T00:00:00"/>
    <x v="0"/>
    <x v="0"/>
    <x v="0"/>
    <x v="0"/>
    <x v="0"/>
    <x v="0"/>
    <x v="0"/>
    <n v="5"/>
    <n v="60"/>
  </r>
  <r>
    <n v="3322"/>
    <s v="Eduardo Lima"/>
    <x v="2"/>
    <d v="2024-05-27T00:00:00"/>
    <x v="1"/>
    <x v="2"/>
    <x v="1"/>
    <x v="1"/>
    <x v="1"/>
    <x v="0"/>
    <x v="0"/>
    <n v="15"/>
    <n v="15"/>
  </r>
  <r>
    <n v="3323"/>
    <s v="Fabiana Araújo"/>
    <x v="1"/>
    <d v="2024-05-28T00:00:00"/>
    <x v="0"/>
    <x v="1"/>
    <x v="0"/>
    <x v="1"/>
    <x v="1"/>
    <x v="1"/>
    <x v="1"/>
    <n v="1"/>
    <n v="4"/>
  </r>
  <r>
    <n v="3324"/>
    <s v="Geraldo Ribeiro"/>
    <x v="0"/>
    <d v="2024-05-29T00:00:00"/>
    <x v="1"/>
    <x v="0"/>
    <x v="2"/>
    <x v="0"/>
    <x v="0"/>
    <x v="0"/>
    <x v="0"/>
    <n v="20"/>
    <n v="45"/>
  </r>
  <r>
    <n v="3325"/>
    <s v="Héctor Vargas"/>
    <x v="2"/>
    <d v="2024-05-30T00:00:00"/>
    <x v="0"/>
    <x v="2"/>
    <x v="2"/>
    <x v="1"/>
    <x v="1"/>
    <x v="0"/>
    <x v="0"/>
    <n v="15"/>
    <n v="15"/>
  </r>
  <r>
    <n v="3326"/>
    <s v="Isabela Fonseca"/>
    <x v="1"/>
    <d v="2024-05-31T00:00:00"/>
    <x v="1"/>
    <x v="1"/>
    <x v="1"/>
    <x v="1"/>
    <x v="1"/>
    <x v="1"/>
    <x v="1"/>
    <n v="0"/>
    <n v="5"/>
  </r>
  <r>
    <n v="3327"/>
    <s v="João Pedro Almeida"/>
    <x v="0"/>
    <d v="2024-06-01T00:00:00"/>
    <x v="0"/>
    <x v="0"/>
    <x v="0"/>
    <x v="0"/>
    <x v="0"/>
    <x v="0"/>
    <x v="0"/>
    <n v="7"/>
    <n v="58"/>
  </r>
  <r>
    <n v="3328"/>
    <s v="Klara Costa"/>
    <x v="2"/>
    <d v="2024-06-02T00:00:00"/>
    <x v="1"/>
    <x v="2"/>
    <x v="1"/>
    <x v="1"/>
    <x v="1"/>
    <x v="0"/>
    <x v="0"/>
    <n v="10"/>
    <n v="20"/>
  </r>
  <r>
    <n v="3329"/>
    <s v="Luciana Mendes"/>
    <x v="1"/>
    <d v="2024-06-03T00:00:00"/>
    <x v="0"/>
    <x v="1"/>
    <x v="2"/>
    <x v="1"/>
    <x v="1"/>
    <x v="1"/>
    <x v="1"/>
    <n v="1"/>
    <n v="4"/>
  </r>
  <r>
    <n v="3330"/>
    <s v="Marcelo Gouveia"/>
    <x v="0"/>
    <d v="2024-06-04T00:00:00"/>
    <x v="1"/>
    <x v="0"/>
    <x v="0"/>
    <x v="0"/>
    <x v="0"/>
    <x v="0"/>
    <x v="0"/>
    <n v="15"/>
    <n v="50"/>
  </r>
  <r>
    <n v="3331"/>
    <s v="Nívea Borges"/>
    <x v="2"/>
    <d v="2024-06-05T00:00:00"/>
    <x v="0"/>
    <x v="2"/>
    <x v="0"/>
    <x v="1"/>
    <x v="1"/>
    <x v="0"/>
    <x v="0"/>
    <n v="5"/>
    <n v="25"/>
  </r>
  <r>
    <n v="3332"/>
    <s v="Oscar Nogueira"/>
    <x v="1"/>
    <d v="2024-06-06T00:00:00"/>
    <x v="1"/>
    <x v="1"/>
    <x v="1"/>
    <x v="1"/>
    <x v="1"/>
    <x v="1"/>
    <x v="1"/>
    <n v="0"/>
    <n v="5"/>
  </r>
  <r>
    <n v="3333"/>
    <s v="Patrícia Alves"/>
    <x v="0"/>
    <d v="2024-06-07T00:00:00"/>
    <x v="0"/>
    <x v="0"/>
    <x v="2"/>
    <x v="0"/>
    <x v="0"/>
    <x v="0"/>
    <x v="0"/>
    <n v="20"/>
    <n v="45"/>
  </r>
  <r>
    <n v="3334"/>
    <s v="Rafaela Silva"/>
    <x v="2"/>
    <d v="2024-06-08T00:00:00"/>
    <x v="1"/>
    <x v="2"/>
    <x v="2"/>
    <x v="1"/>
    <x v="1"/>
    <x v="0"/>
    <x v="0"/>
    <n v="12"/>
    <n v="18"/>
  </r>
  <r>
    <n v="3335"/>
    <s v="Samantha Moraes"/>
    <x v="1"/>
    <d v="2024-06-09T00:00:00"/>
    <x v="0"/>
    <x v="1"/>
    <x v="0"/>
    <x v="1"/>
    <x v="1"/>
    <x v="1"/>
    <x v="1"/>
    <n v="2"/>
    <n v="3"/>
  </r>
  <r>
    <n v="3336"/>
    <s v="Tatiana Rocha"/>
    <x v="1"/>
    <d v="2024-06-10T00:00:00"/>
    <x v="0"/>
    <x v="1"/>
    <x v="0"/>
    <x v="1"/>
    <x v="1"/>
    <x v="1"/>
    <x v="1"/>
    <n v="0"/>
    <n v="5"/>
  </r>
  <r>
    <n v="3337"/>
    <s v="Ulisses Tavares"/>
    <x v="0"/>
    <d v="2024-06-11T00:00:00"/>
    <x v="1"/>
    <x v="0"/>
    <x v="2"/>
    <x v="0"/>
    <x v="0"/>
    <x v="0"/>
    <x v="0"/>
    <n v="7"/>
    <n v="58"/>
  </r>
  <r>
    <n v="3338"/>
    <s v="Víctor Lemos"/>
    <x v="2"/>
    <d v="2024-06-12T00:00:00"/>
    <x v="0"/>
    <x v="2"/>
    <x v="1"/>
    <x v="1"/>
    <x v="1"/>
    <x v="0"/>
    <x v="0"/>
    <n v="10"/>
    <n v="20"/>
  </r>
  <r>
    <n v="3339"/>
    <s v="Wilma Barros"/>
    <x v="1"/>
    <d v="2024-06-13T00:00:00"/>
    <x v="1"/>
    <x v="1"/>
    <x v="2"/>
    <x v="1"/>
    <x v="1"/>
    <x v="1"/>
    <x v="1"/>
    <n v="1"/>
    <n v="4"/>
  </r>
  <r>
    <n v="3340"/>
    <s v="Xavier Nascimento"/>
    <x v="0"/>
    <d v="2024-06-14T00:00:00"/>
    <x v="0"/>
    <x v="0"/>
    <x v="0"/>
    <x v="0"/>
    <x v="0"/>
    <x v="0"/>
    <x v="0"/>
    <n v="15"/>
    <n v="50"/>
  </r>
  <r>
    <n v="3341"/>
    <s v="Yago Pereira"/>
    <x v="2"/>
    <d v="2024-06-15T00:00:00"/>
    <x v="1"/>
    <x v="2"/>
    <x v="0"/>
    <x v="1"/>
    <x v="1"/>
    <x v="0"/>
    <x v="0"/>
    <n v="5"/>
    <n v="25"/>
  </r>
  <r>
    <n v="3342"/>
    <s v="Zilda Ferreira"/>
    <x v="1"/>
    <d v="2024-06-16T00:00:00"/>
    <x v="0"/>
    <x v="1"/>
    <x v="1"/>
    <x v="1"/>
    <x v="1"/>
    <x v="1"/>
    <x v="1"/>
    <n v="0"/>
    <n v="5"/>
  </r>
  <r>
    <n v="3343"/>
    <s v="Amanda Lopes"/>
    <x v="0"/>
    <d v="2024-06-17T00:00:00"/>
    <x v="1"/>
    <x v="0"/>
    <x v="2"/>
    <x v="0"/>
    <x v="0"/>
    <x v="0"/>
    <x v="0"/>
    <n v="20"/>
    <n v="45"/>
  </r>
  <r>
    <n v="3344"/>
    <s v="Bruno Miranda"/>
    <x v="2"/>
    <d v="2024-06-18T00:00:00"/>
    <x v="0"/>
    <x v="2"/>
    <x v="2"/>
    <x v="1"/>
    <x v="1"/>
    <x v="0"/>
    <x v="0"/>
    <n v="12"/>
    <n v="18"/>
  </r>
  <r>
    <n v="3345"/>
    <s v="Célia Torres"/>
    <x v="1"/>
    <d v="2024-06-19T00:00:00"/>
    <x v="1"/>
    <x v="1"/>
    <x v="0"/>
    <x v="1"/>
    <x v="1"/>
    <x v="1"/>
    <x v="1"/>
    <n v="2"/>
    <n v="3"/>
  </r>
  <r>
    <n v="3346"/>
    <s v="Diogo Souza"/>
    <x v="0"/>
    <d v="2024-06-20T00:00:00"/>
    <x v="0"/>
    <x v="0"/>
    <x v="1"/>
    <x v="0"/>
    <x v="0"/>
    <x v="0"/>
    <x v="0"/>
    <n v="5"/>
    <n v="60"/>
  </r>
  <r>
    <n v="3347"/>
    <s v="Elisa Castro"/>
    <x v="2"/>
    <d v="2024-06-21T00:00:00"/>
    <x v="1"/>
    <x v="2"/>
    <x v="0"/>
    <x v="1"/>
    <x v="1"/>
    <x v="0"/>
    <x v="0"/>
    <n v="10"/>
    <n v="20"/>
  </r>
  <r>
    <n v="3348"/>
    <s v="Fátima Lima"/>
    <x v="1"/>
    <d v="2024-06-22T00:00:00"/>
    <x v="0"/>
    <x v="1"/>
    <x v="2"/>
    <x v="1"/>
    <x v="1"/>
    <x v="1"/>
    <x v="1"/>
    <n v="0"/>
    <n v="5"/>
  </r>
  <r>
    <n v="3349"/>
    <s v="Geraldo Ribeiro"/>
    <x v="0"/>
    <d v="2024-06-23T00:00:00"/>
    <x v="1"/>
    <x v="0"/>
    <x v="0"/>
    <x v="0"/>
    <x v="0"/>
    <x v="0"/>
    <x v="0"/>
    <n v="3"/>
    <n v="62"/>
  </r>
  <r>
    <n v="3350"/>
    <s v="Hélio Martins"/>
    <x v="2"/>
    <d v="2024-06-24T00:00:00"/>
    <x v="0"/>
    <x v="2"/>
    <x v="1"/>
    <x v="1"/>
    <x v="1"/>
    <x v="0"/>
    <x v="0"/>
    <n v="15"/>
    <n v="15"/>
  </r>
  <r>
    <n v="3351"/>
    <s v="Íris Santos"/>
    <x v="1"/>
    <d v="2024-06-25T00:00:00"/>
    <x v="1"/>
    <x v="1"/>
    <x v="0"/>
    <x v="1"/>
    <x v="1"/>
    <x v="1"/>
    <x v="1"/>
    <n v="1"/>
    <n v="4"/>
  </r>
  <r>
    <n v="3352"/>
    <s v="João Marcelo"/>
    <x v="0"/>
    <d v="2024-06-26T00:00:00"/>
    <x v="0"/>
    <x v="0"/>
    <x v="2"/>
    <x v="0"/>
    <x v="0"/>
    <x v="0"/>
    <x v="0"/>
    <n v="7"/>
    <n v="58"/>
  </r>
  <r>
    <n v="3353"/>
    <s v="Larissa Gomes"/>
    <x v="2"/>
    <d v="2024-06-27T00:00:00"/>
    <x v="1"/>
    <x v="2"/>
    <x v="0"/>
    <x v="1"/>
    <x v="1"/>
    <x v="0"/>
    <x v="0"/>
    <n v="10"/>
    <n v="20"/>
  </r>
  <r>
    <n v="3354"/>
    <s v="Márcio Silva"/>
    <x v="1"/>
    <d v="2024-06-28T00:00:00"/>
    <x v="0"/>
    <x v="1"/>
    <x v="1"/>
    <x v="1"/>
    <x v="1"/>
    <x v="1"/>
    <x v="1"/>
    <n v="0"/>
    <n v="5"/>
  </r>
  <r>
    <n v="3355"/>
    <s v="Nadia Costa"/>
    <x v="0"/>
    <d v="2024-06-29T00:00:00"/>
    <x v="1"/>
    <x v="0"/>
    <x v="0"/>
    <x v="0"/>
    <x v="0"/>
    <x v="0"/>
    <x v="0"/>
    <n v="20"/>
    <n v="45"/>
  </r>
  <r>
    <n v="3356"/>
    <s v="Oscar Almeida"/>
    <x v="2"/>
    <d v="2024-06-30T00:00:00"/>
    <x v="0"/>
    <x v="2"/>
    <x v="2"/>
    <x v="1"/>
    <x v="1"/>
    <x v="0"/>
    <x v="0"/>
    <n v="15"/>
    <n v="15"/>
  </r>
  <r>
    <n v="3357"/>
    <s v="Patricia Soares"/>
    <x v="1"/>
    <d v="2024-07-01T00:00:00"/>
    <x v="1"/>
    <x v="1"/>
    <x v="0"/>
    <x v="1"/>
    <x v="1"/>
    <x v="1"/>
    <x v="1"/>
    <n v="1"/>
    <n v="4"/>
  </r>
  <r>
    <n v="3358"/>
    <s v="Quênia Barros"/>
    <x v="0"/>
    <d v="2024-07-02T00:00:00"/>
    <x v="0"/>
    <x v="0"/>
    <x v="1"/>
    <x v="0"/>
    <x v="0"/>
    <x v="0"/>
    <x v="0"/>
    <n v="3"/>
    <n v="62"/>
  </r>
  <r>
    <n v="3359"/>
    <s v="Rafael Torres"/>
    <x v="2"/>
    <d v="2024-07-03T00:00:00"/>
    <x v="1"/>
    <x v="2"/>
    <x v="0"/>
    <x v="1"/>
    <x v="1"/>
    <x v="0"/>
    <x v="0"/>
    <n v="10"/>
    <n v="20"/>
  </r>
  <r>
    <n v="3360"/>
    <s v="Silvia Nascimento"/>
    <x v="1"/>
    <d v="2024-07-04T00:00:00"/>
    <x v="0"/>
    <x v="1"/>
    <x v="2"/>
    <x v="1"/>
    <x v="1"/>
    <x v="1"/>
    <x v="1"/>
    <n v="0"/>
    <n v="5"/>
  </r>
  <r>
    <n v="3361"/>
    <s v="Tiago Mendes"/>
    <x v="0"/>
    <d v="2024-07-05T00:00:00"/>
    <x v="1"/>
    <x v="0"/>
    <x v="0"/>
    <x v="0"/>
    <x v="0"/>
    <x v="0"/>
    <x v="0"/>
    <n v="15"/>
    <n v="50"/>
  </r>
  <r>
    <n v="3362"/>
    <s v="Ursula Silva"/>
    <x v="2"/>
    <d v="2024-07-06T00:00:00"/>
    <x v="0"/>
    <x v="2"/>
    <x v="1"/>
    <x v="1"/>
    <x v="1"/>
    <x v="0"/>
    <x v="0"/>
    <n v="15"/>
    <n v="15"/>
  </r>
  <r>
    <n v="3363"/>
    <s v="Vanessa Moraes"/>
    <x v="1"/>
    <d v="2024-07-07T00:00:00"/>
    <x v="1"/>
    <x v="1"/>
    <x v="0"/>
    <x v="1"/>
    <x v="1"/>
    <x v="1"/>
    <x v="1"/>
    <n v="1"/>
    <n v="4"/>
  </r>
  <r>
    <n v="3364"/>
    <s v="Waldir Junior"/>
    <x v="0"/>
    <d v="2024-07-08T00:00:00"/>
    <x v="0"/>
    <x v="0"/>
    <x v="2"/>
    <x v="0"/>
    <x v="0"/>
    <x v="0"/>
    <x v="0"/>
    <n v="7"/>
    <n v="58"/>
  </r>
  <r>
    <n v="3365"/>
    <s v="Xavier Lopes"/>
    <x v="2"/>
    <d v="2024-07-09T00:00:00"/>
    <x v="1"/>
    <x v="2"/>
    <x v="0"/>
    <x v="1"/>
    <x v="1"/>
    <x v="0"/>
    <x v="0"/>
    <n v="10"/>
    <n v="20"/>
  </r>
  <r>
    <n v="3366"/>
    <s v="Yolanda Freitas"/>
    <x v="1"/>
    <d v="2024-07-10T00:00:00"/>
    <x v="0"/>
    <x v="1"/>
    <x v="0"/>
    <x v="1"/>
    <x v="1"/>
    <x v="1"/>
    <x v="1"/>
    <n v="0"/>
    <n v="5"/>
  </r>
  <r>
    <n v="3367"/>
    <s v="Zacarias Nunes"/>
    <x v="0"/>
    <d v="2024-07-11T00:00:00"/>
    <x v="1"/>
    <x v="0"/>
    <x v="2"/>
    <x v="0"/>
    <x v="0"/>
    <x v="0"/>
    <x v="0"/>
    <n v="7"/>
    <n v="58"/>
  </r>
  <r>
    <n v="3368"/>
    <s v="Ana Clara Barreto"/>
    <x v="2"/>
    <d v="2024-07-12T00:00:00"/>
    <x v="0"/>
    <x v="2"/>
    <x v="1"/>
    <x v="1"/>
    <x v="1"/>
    <x v="0"/>
    <x v="0"/>
    <n v="10"/>
    <n v="20"/>
  </r>
  <r>
    <n v="3369"/>
    <s v="Bruno Henrique"/>
    <x v="1"/>
    <d v="2024-07-13T00:00:00"/>
    <x v="1"/>
    <x v="1"/>
    <x v="2"/>
    <x v="1"/>
    <x v="1"/>
    <x v="1"/>
    <x v="1"/>
    <n v="1"/>
    <n v="4"/>
  </r>
  <r>
    <n v="3370"/>
    <s v="Carlos Eduardo"/>
    <x v="0"/>
    <d v="2024-07-14T00:00:00"/>
    <x v="0"/>
    <x v="0"/>
    <x v="0"/>
    <x v="0"/>
    <x v="0"/>
    <x v="0"/>
    <x v="0"/>
    <n v="15"/>
    <n v="50"/>
  </r>
  <r>
    <n v="3371"/>
    <s v="Débora Lima"/>
    <x v="2"/>
    <d v="2024-07-15T00:00:00"/>
    <x v="1"/>
    <x v="2"/>
    <x v="0"/>
    <x v="1"/>
    <x v="1"/>
    <x v="0"/>
    <x v="0"/>
    <n v="5"/>
    <n v="25"/>
  </r>
  <r>
    <n v="3372"/>
    <s v="Elisa Neves"/>
    <x v="1"/>
    <d v="2024-07-16T00:00:00"/>
    <x v="0"/>
    <x v="1"/>
    <x v="1"/>
    <x v="1"/>
    <x v="1"/>
    <x v="1"/>
    <x v="1"/>
    <n v="0"/>
    <n v="5"/>
  </r>
  <r>
    <n v="3373"/>
    <s v="Fabiano Gomes"/>
    <x v="0"/>
    <d v="2024-07-17T00:00:00"/>
    <x v="1"/>
    <x v="0"/>
    <x v="2"/>
    <x v="0"/>
    <x v="0"/>
    <x v="0"/>
    <x v="0"/>
    <n v="20"/>
    <n v="45"/>
  </r>
  <r>
    <n v="3374"/>
    <s v="Gisele Oliveira"/>
    <x v="2"/>
    <d v="2024-07-18T00:00:00"/>
    <x v="0"/>
    <x v="2"/>
    <x v="2"/>
    <x v="1"/>
    <x v="1"/>
    <x v="0"/>
    <x v="0"/>
    <n v="12"/>
    <n v="18"/>
  </r>
  <r>
    <n v="3375"/>
    <s v="Héctor Silva"/>
    <x v="1"/>
    <d v="2024-07-19T00:00:00"/>
    <x v="1"/>
    <x v="1"/>
    <x v="0"/>
    <x v="1"/>
    <x v="1"/>
    <x v="1"/>
    <x v="1"/>
    <n v="2"/>
    <n v="3"/>
  </r>
  <r>
    <n v="3376"/>
    <s v="Igor Martins"/>
    <x v="0"/>
    <d v="2024-07-20T00:00:00"/>
    <x v="0"/>
    <x v="0"/>
    <x v="1"/>
    <x v="0"/>
    <x v="0"/>
    <x v="0"/>
    <x v="0"/>
    <n v="5"/>
    <n v="60"/>
  </r>
  <r>
    <n v="3377"/>
    <s v="Joana Figueiredo"/>
    <x v="2"/>
    <d v="2024-07-21T00:00:00"/>
    <x v="1"/>
    <x v="2"/>
    <x v="0"/>
    <x v="1"/>
    <x v="1"/>
    <x v="0"/>
    <x v="0"/>
    <n v="10"/>
    <n v="20"/>
  </r>
  <r>
    <n v="3378"/>
    <s v="Kleber Machado"/>
    <x v="1"/>
    <d v="2024-07-22T00:00:00"/>
    <x v="0"/>
    <x v="1"/>
    <x v="2"/>
    <x v="1"/>
    <x v="1"/>
    <x v="1"/>
    <x v="1"/>
    <n v="0"/>
    <n v="5"/>
  </r>
  <r>
    <n v="3379"/>
    <s v="Luciana Santos"/>
    <x v="0"/>
    <d v="2024-07-23T00:00:00"/>
    <x v="1"/>
    <x v="0"/>
    <x v="0"/>
    <x v="0"/>
    <x v="0"/>
    <x v="0"/>
    <x v="0"/>
    <n v="3"/>
    <n v="62"/>
  </r>
  <r>
    <n v="3380"/>
    <s v="Marcos Teixeira"/>
    <x v="2"/>
    <d v="2024-07-24T00:00:00"/>
    <x v="0"/>
    <x v="2"/>
    <x v="1"/>
    <x v="1"/>
    <x v="1"/>
    <x v="0"/>
    <x v="0"/>
    <n v="15"/>
    <n v="15"/>
  </r>
  <r>
    <n v="3381"/>
    <s v="Natalia Costa"/>
    <x v="1"/>
    <d v="2024-07-25T00:00:00"/>
    <x v="1"/>
    <x v="1"/>
    <x v="0"/>
    <x v="1"/>
    <x v="1"/>
    <x v="1"/>
    <x v="1"/>
    <n v="1"/>
    <n v="4"/>
  </r>
  <r>
    <n v="3382"/>
    <s v="Oscar Ribeiro"/>
    <x v="0"/>
    <d v="2024-07-26T00:00:00"/>
    <x v="0"/>
    <x v="0"/>
    <x v="2"/>
    <x v="0"/>
    <x v="0"/>
    <x v="0"/>
    <x v="0"/>
    <n v="7"/>
    <n v="58"/>
  </r>
  <r>
    <n v="3383"/>
    <s v="Patricia Almeida"/>
    <x v="2"/>
    <d v="2024-07-27T00:00:00"/>
    <x v="1"/>
    <x v="2"/>
    <x v="0"/>
    <x v="1"/>
    <x v="1"/>
    <x v="0"/>
    <x v="0"/>
    <n v="10"/>
    <n v="20"/>
  </r>
  <r>
    <n v="3384"/>
    <s v="Quirino Junior"/>
    <x v="1"/>
    <d v="2024-07-28T00:00:00"/>
    <x v="0"/>
    <x v="1"/>
    <x v="1"/>
    <x v="1"/>
    <x v="1"/>
    <x v="1"/>
    <x v="1"/>
    <n v="0"/>
    <n v="5"/>
  </r>
  <r>
    <n v="3385"/>
    <s v="Renata Machado"/>
    <x v="0"/>
    <d v="2024-07-29T00:00:00"/>
    <x v="1"/>
    <x v="0"/>
    <x v="0"/>
    <x v="0"/>
    <x v="0"/>
    <x v="0"/>
    <x v="0"/>
    <n v="20"/>
    <n v="45"/>
  </r>
  <r>
    <n v="3386"/>
    <s v="Sônia Alves"/>
    <x v="2"/>
    <d v="2024-07-30T00:00:00"/>
    <x v="0"/>
    <x v="2"/>
    <x v="2"/>
    <x v="1"/>
    <x v="1"/>
    <x v="0"/>
    <x v="0"/>
    <n v="15"/>
    <n v="15"/>
  </r>
  <r>
    <n v="3387"/>
    <s v="Tiago Nunes"/>
    <x v="1"/>
    <d v="2024-07-31T00:00:00"/>
    <x v="1"/>
    <x v="1"/>
    <x v="0"/>
    <x v="1"/>
    <x v="1"/>
    <x v="1"/>
    <x v="1"/>
    <n v="1"/>
    <n v="4"/>
  </r>
  <r>
    <n v="3388"/>
    <s v="Ulysses Pereira"/>
    <x v="0"/>
    <d v="2024-08-01T00:00:00"/>
    <x v="0"/>
    <x v="0"/>
    <x v="1"/>
    <x v="0"/>
    <x v="0"/>
    <x v="0"/>
    <x v="0"/>
    <n v="3"/>
    <n v="62"/>
  </r>
  <r>
    <n v="3389"/>
    <s v="Vanessa Lima"/>
    <x v="2"/>
    <d v="2024-08-02T00:00:00"/>
    <x v="1"/>
    <x v="2"/>
    <x v="0"/>
    <x v="1"/>
    <x v="1"/>
    <x v="0"/>
    <x v="0"/>
    <n v="10"/>
    <n v="20"/>
  </r>
  <r>
    <n v="3390"/>
    <s v="Wagner Santos"/>
    <x v="1"/>
    <d v="2024-08-03T00:00:00"/>
    <x v="0"/>
    <x v="1"/>
    <x v="2"/>
    <x v="1"/>
    <x v="1"/>
    <x v="1"/>
    <x v="1"/>
    <n v="0"/>
    <n v="5"/>
  </r>
  <r>
    <n v="3391"/>
    <s v="Xuxa Meneghel"/>
    <x v="0"/>
    <d v="2024-08-04T00:00:00"/>
    <x v="1"/>
    <x v="0"/>
    <x v="0"/>
    <x v="0"/>
    <x v="0"/>
    <x v="0"/>
    <x v="0"/>
    <n v="15"/>
    <n v="50"/>
  </r>
  <r>
    <n v="3392"/>
    <s v="Yasmin Silva"/>
    <x v="2"/>
    <d v="2024-08-05T00:00:00"/>
    <x v="0"/>
    <x v="2"/>
    <x v="1"/>
    <x v="1"/>
    <x v="1"/>
    <x v="0"/>
    <x v="0"/>
    <n v="15"/>
    <n v="15"/>
  </r>
  <r>
    <n v="3393"/>
    <s v="Zacarias de Souza"/>
    <x v="1"/>
    <d v="2024-08-06T00:00:00"/>
    <x v="1"/>
    <x v="1"/>
    <x v="0"/>
    <x v="1"/>
    <x v="1"/>
    <x v="1"/>
    <x v="1"/>
    <n v="1"/>
    <n v="4"/>
  </r>
  <r>
    <n v="3394"/>
    <s v="André Lima"/>
    <x v="0"/>
    <d v="2024-08-07T00:00:00"/>
    <x v="0"/>
    <x v="0"/>
    <x v="2"/>
    <x v="0"/>
    <x v="0"/>
    <x v="0"/>
    <x v="0"/>
    <n v="7"/>
    <n v="58"/>
  </r>
  <r>
    <n v="3395"/>
    <s v="Bianca Freitas"/>
    <x v="2"/>
    <d v="2024-08-08T00:00:00"/>
    <x v="1"/>
    <x v="2"/>
    <x v="0"/>
    <x v="1"/>
    <x v="1"/>
    <x v="0"/>
    <x v="0"/>
    <n v="10"/>
    <n v="20"/>
  </r>
  <r>
    <n v="3396"/>
    <s v="Caio Mendes"/>
    <x v="1"/>
    <d v="2024-08-09T00:00:00"/>
    <x v="0"/>
    <x v="1"/>
    <x v="1"/>
    <x v="1"/>
    <x v="1"/>
    <x v="1"/>
    <x v="1"/>
    <n v="0"/>
    <n v="5"/>
  </r>
  <r>
    <n v="3397"/>
    <s v="Daniela Moura"/>
    <x v="0"/>
    <d v="2024-08-10T00:00:00"/>
    <x v="1"/>
    <x v="0"/>
    <x v="0"/>
    <x v="0"/>
    <x v="0"/>
    <x v="0"/>
    <x v="0"/>
    <n v="20"/>
    <n v="45"/>
  </r>
  <r>
    <n v="3398"/>
    <s v="Eduardo Costa"/>
    <x v="2"/>
    <d v="2024-08-11T00:00:00"/>
    <x v="0"/>
    <x v="2"/>
    <x v="2"/>
    <x v="1"/>
    <x v="1"/>
    <x v="0"/>
    <x v="0"/>
    <n v="15"/>
    <n v="15"/>
  </r>
  <r>
    <n v="3399"/>
    <s v="Fernanda Gomes"/>
    <x v="1"/>
    <d v="2024-08-12T00:00:00"/>
    <x v="1"/>
    <x v="1"/>
    <x v="0"/>
    <x v="1"/>
    <x v="1"/>
    <x v="1"/>
    <x v="1"/>
    <n v="1"/>
    <n v="4"/>
  </r>
  <r>
    <n v="3400"/>
    <s v="Guilherme Souza"/>
    <x v="0"/>
    <d v="2024-08-13T00:00:00"/>
    <x v="0"/>
    <x v="0"/>
    <x v="1"/>
    <x v="0"/>
    <x v="0"/>
    <x v="0"/>
    <x v="0"/>
    <n v="5"/>
    <n v="60"/>
  </r>
  <r>
    <n v="3401"/>
    <s v="Helena Ribeiro"/>
    <x v="2"/>
    <d v="2024-08-14T00:00:00"/>
    <x v="1"/>
    <x v="2"/>
    <x v="0"/>
    <x v="1"/>
    <x v="1"/>
    <x v="0"/>
    <x v="0"/>
    <n v="10"/>
    <n v="20"/>
  </r>
  <r>
    <n v="3402"/>
    <s v="Igor Santos"/>
    <x v="1"/>
    <d v="2024-08-15T00:00:00"/>
    <x v="0"/>
    <x v="1"/>
    <x v="2"/>
    <x v="1"/>
    <x v="1"/>
    <x v="1"/>
    <x v="1"/>
    <n v="0"/>
    <n v="5"/>
  </r>
  <r>
    <n v="3403"/>
    <s v="João Carvalho"/>
    <x v="0"/>
    <d v="2024-08-16T00:00:00"/>
    <x v="1"/>
    <x v="0"/>
    <x v="0"/>
    <x v="0"/>
    <x v="0"/>
    <x v="0"/>
    <x v="0"/>
    <n v="3"/>
    <n v="62"/>
  </r>
  <r>
    <n v="3404"/>
    <s v="Klara Fagundes"/>
    <x v="2"/>
    <d v="2024-08-17T00:00:00"/>
    <x v="0"/>
    <x v="2"/>
    <x v="1"/>
    <x v="1"/>
    <x v="1"/>
    <x v="0"/>
    <x v="0"/>
    <n v="15"/>
    <n v="15"/>
  </r>
  <r>
    <n v="3405"/>
    <s v="Lúcia Mendonça"/>
    <x v="1"/>
    <d v="2024-08-18T00:00:00"/>
    <x v="1"/>
    <x v="1"/>
    <x v="0"/>
    <x v="1"/>
    <x v="1"/>
    <x v="1"/>
    <x v="1"/>
    <n v="1"/>
    <n v="4"/>
  </r>
  <r>
    <n v="3406"/>
    <s v="Marcelo Novaes"/>
    <x v="1"/>
    <d v="2024-08-19T00:00:00"/>
    <x v="0"/>
    <x v="1"/>
    <x v="0"/>
    <x v="1"/>
    <x v="1"/>
    <x v="1"/>
    <x v="1"/>
    <n v="0"/>
    <n v="5"/>
  </r>
  <r>
    <n v="3407"/>
    <s v="Nina Pacheco"/>
    <x v="0"/>
    <d v="2024-08-20T00:00:00"/>
    <x v="1"/>
    <x v="0"/>
    <x v="2"/>
    <x v="0"/>
    <x v="0"/>
    <x v="0"/>
    <x v="0"/>
    <n v="7"/>
    <n v="58"/>
  </r>
  <r>
    <n v="3408"/>
    <s v="Olívia Rios"/>
    <x v="2"/>
    <d v="2024-08-21T00:00:00"/>
    <x v="0"/>
    <x v="2"/>
    <x v="1"/>
    <x v="1"/>
    <x v="1"/>
    <x v="0"/>
    <x v="0"/>
    <n v="10"/>
    <n v="20"/>
  </r>
  <r>
    <n v="3409"/>
    <s v="Paulo Quintana"/>
    <x v="1"/>
    <d v="2024-08-22T00:00:00"/>
    <x v="1"/>
    <x v="1"/>
    <x v="2"/>
    <x v="1"/>
    <x v="1"/>
    <x v="1"/>
    <x v="1"/>
    <n v="1"/>
    <n v="4"/>
  </r>
  <r>
    <n v="3410"/>
    <s v="Raquel Domingos"/>
    <x v="0"/>
    <d v="2024-08-23T00:00:00"/>
    <x v="0"/>
    <x v="0"/>
    <x v="0"/>
    <x v="0"/>
    <x v="0"/>
    <x v="0"/>
    <x v="0"/>
    <n v="15"/>
    <n v="50"/>
  </r>
  <r>
    <n v="3411"/>
    <s v="Samuel Viana"/>
    <x v="2"/>
    <d v="2024-08-24T00:00:00"/>
    <x v="1"/>
    <x v="2"/>
    <x v="0"/>
    <x v="1"/>
    <x v="1"/>
    <x v="0"/>
    <x v="0"/>
    <n v="5"/>
    <n v="25"/>
  </r>
  <r>
    <n v="3412"/>
    <s v="Tatiane Rocha"/>
    <x v="1"/>
    <d v="2024-08-25T00:00:00"/>
    <x v="0"/>
    <x v="1"/>
    <x v="1"/>
    <x v="1"/>
    <x v="1"/>
    <x v="1"/>
    <x v="1"/>
    <n v="0"/>
    <n v="5"/>
  </r>
  <r>
    <n v="3413"/>
    <s v="Ulysses Farias"/>
    <x v="0"/>
    <d v="2024-08-26T00:00:00"/>
    <x v="1"/>
    <x v="0"/>
    <x v="2"/>
    <x v="0"/>
    <x v="0"/>
    <x v="0"/>
    <x v="0"/>
    <n v="20"/>
    <n v="45"/>
  </r>
  <r>
    <n v="3414"/>
    <s v="Vanessa Moreira"/>
    <x v="2"/>
    <d v="2024-08-27T00:00:00"/>
    <x v="0"/>
    <x v="2"/>
    <x v="2"/>
    <x v="1"/>
    <x v="1"/>
    <x v="0"/>
    <x v="0"/>
    <n v="12"/>
    <n v="18"/>
  </r>
  <r>
    <n v="3415"/>
    <s v="William Carvalho"/>
    <x v="1"/>
    <d v="2024-08-28T00:00:00"/>
    <x v="1"/>
    <x v="1"/>
    <x v="0"/>
    <x v="1"/>
    <x v="1"/>
    <x v="1"/>
    <x v="1"/>
    <n v="2"/>
    <n v="3"/>
  </r>
  <r>
    <n v="3416"/>
    <s v="Ximena Barros"/>
    <x v="0"/>
    <d v="2024-08-29T00:00:00"/>
    <x v="0"/>
    <x v="0"/>
    <x v="1"/>
    <x v="0"/>
    <x v="0"/>
    <x v="0"/>
    <x v="0"/>
    <n v="5"/>
    <n v="60"/>
  </r>
  <r>
    <n v="3417"/>
    <s v="Yara Machado"/>
    <x v="2"/>
    <d v="2024-08-30T00:00:00"/>
    <x v="1"/>
    <x v="2"/>
    <x v="0"/>
    <x v="1"/>
    <x v="1"/>
    <x v="0"/>
    <x v="0"/>
    <n v="10"/>
    <n v="20"/>
  </r>
  <r>
    <n v="3418"/>
    <s v="Zacarias Costa"/>
    <x v="1"/>
    <d v="2024-08-31T00:00:00"/>
    <x v="0"/>
    <x v="1"/>
    <x v="2"/>
    <x v="1"/>
    <x v="1"/>
    <x v="1"/>
    <x v="1"/>
    <n v="0"/>
    <n v="5"/>
  </r>
  <r>
    <n v="3419"/>
    <s v="André Lopes"/>
    <x v="0"/>
    <d v="2024-09-01T00:00:00"/>
    <x v="1"/>
    <x v="0"/>
    <x v="0"/>
    <x v="0"/>
    <x v="0"/>
    <x v="0"/>
    <x v="0"/>
    <n v="3"/>
    <n v="62"/>
  </r>
  <r>
    <n v="3420"/>
    <s v="Beatriz Souza"/>
    <x v="2"/>
    <d v="2024-09-02T00:00:00"/>
    <x v="0"/>
    <x v="2"/>
    <x v="1"/>
    <x v="1"/>
    <x v="1"/>
    <x v="0"/>
    <x v="0"/>
    <n v="15"/>
    <n v="15"/>
  </r>
  <r>
    <n v="3421"/>
    <s v="Caio Pereira"/>
    <x v="1"/>
    <d v="2024-09-03T00:00:00"/>
    <x v="1"/>
    <x v="1"/>
    <x v="0"/>
    <x v="1"/>
    <x v="1"/>
    <x v="1"/>
    <x v="1"/>
    <n v="1"/>
    <n v="4"/>
  </r>
  <r>
    <n v="3422"/>
    <s v="Daniela Araújo"/>
    <x v="0"/>
    <d v="2024-09-04T00:00:00"/>
    <x v="0"/>
    <x v="0"/>
    <x v="2"/>
    <x v="0"/>
    <x v="0"/>
    <x v="0"/>
    <x v="0"/>
    <n v="7"/>
    <n v="58"/>
  </r>
  <r>
    <n v="3423"/>
    <s v="Eduardo Santos"/>
    <x v="2"/>
    <d v="2024-09-05T00:00:00"/>
    <x v="1"/>
    <x v="2"/>
    <x v="0"/>
    <x v="1"/>
    <x v="1"/>
    <x v="0"/>
    <x v="0"/>
    <n v="10"/>
    <n v="20"/>
  </r>
  <r>
    <n v="3424"/>
    <s v="Fernanda Lima"/>
    <x v="1"/>
    <d v="2024-09-06T00:00:00"/>
    <x v="0"/>
    <x v="1"/>
    <x v="1"/>
    <x v="1"/>
    <x v="1"/>
    <x v="1"/>
    <x v="1"/>
    <n v="0"/>
    <n v="5"/>
  </r>
  <r>
    <n v="3425"/>
    <s v="Gabriel Teixeira"/>
    <x v="0"/>
    <d v="2024-09-07T00:00:00"/>
    <x v="1"/>
    <x v="0"/>
    <x v="0"/>
    <x v="0"/>
    <x v="0"/>
    <x v="0"/>
    <x v="0"/>
    <n v="20"/>
    <n v="45"/>
  </r>
  <r>
    <n v="3426"/>
    <s v="Helena Ribeiro"/>
    <x v="2"/>
    <d v="2024-09-08T00:00:00"/>
    <x v="0"/>
    <x v="2"/>
    <x v="2"/>
    <x v="1"/>
    <x v="1"/>
    <x v="0"/>
    <x v="0"/>
    <n v="15"/>
    <n v="15"/>
  </r>
  <r>
    <n v="3427"/>
    <s v="Igor Mendes"/>
    <x v="1"/>
    <d v="2024-09-09T00:00:00"/>
    <x v="1"/>
    <x v="1"/>
    <x v="0"/>
    <x v="1"/>
    <x v="1"/>
    <x v="1"/>
    <x v="1"/>
    <n v="1"/>
    <n v="4"/>
  </r>
  <r>
    <n v="3428"/>
    <s v="Joana Silveira"/>
    <x v="0"/>
    <d v="2024-09-10T00:00:00"/>
    <x v="0"/>
    <x v="0"/>
    <x v="1"/>
    <x v="0"/>
    <x v="0"/>
    <x v="0"/>
    <x v="0"/>
    <n v="3"/>
    <n v="62"/>
  </r>
  <r>
    <n v="3429"/>
    <s v="Lucas Martins"/>
    <x v="2"/>
    <d v="2024-09-11T00:00:00"/>
    <x v="1"/>
    <x v="2"/>
    <x v="0"/>
    <x v="1"/>
    <x v="1"/>
    <x v="0"/>
    <x v="0"/>
    <n v="10"/>
    <n v="20"/>
  </r>
  <r>
    <n v="3430"/>
    <s v="Marcela Gouveia"/>
    <x v="1"/>
    <d v="2024-09-12T00:00:00"/>
    <x v="0"/>
    <x v="1"/>
    <x v="2"/>
    <x v="1"/>
    <x v="1"/>
    <x v="1"/>
    <x v="1"/>
    <n v="0"/>
    <n v="5"/>
  </r>
  <r>
    <n v="3431"/>
    <s v="Nicolas Borges"/>
    <x v="0"/>
    <d v="2024-09-13T00:00:00"/>
    <x v="1"/>
    <x v="0"/>
    <x v="0"/>
    <x v="0"/>
    <x v="0"/>
    <x v="0"/>
    <x v="0"/>
    <n v="15"/>
    <n v="50"/>
  </r>
  <r>
    <n v="3432"/>
    <s v="Olivia Freitas"/>
    <x v="2"/>
    <d v="2024-09-14T00:00:00"/>
    <x v="0"/>
    <x v="2"/>
    <x v="1"/>
    <x v="1"/>
    <x v="1"/>
    <x v="0"/>
    <x v="0"/>
    <n v="15"/>
    <n v="15"/>
  </r>
  <r>
    <n v="3433"/>
    <s v="Paulo Nogueira"/>
    <x v="1"/>
    <d v="2024-09-15T00:00:00"/>
    <x v="1"/>
    <x v="1"/>
    <x v="0"/>
    <x v="1"/>
    <x v="1"/>
    <x v="1"/>
    <x v="1"/>
    <n v="1"/>
    <n v="4"/>
  </r>
  <r>
    <n v="3434"/>
    <s v="Raquel Andrade"/>
    <x v="0"/>
    <d v="2024-09-16T00:00:00"/>
    <x v="0"/>
    <x v="0"/>
    <x v="2"/>
    <x v="0"/>
    <x v="0"/>
    <x v="0"/>
    <x v="0"/>
    <n v="7"/>
    <n v="58"/>
  </r>
  <r>
    <n v="3435"/>
    <s v="Sônia Carvalho"/>
    <x v="2"/>
    <d v="2024-09-17T00:00:00"/>
    <x v="1"/>
    <x v="2"/>
    <x v="0"/>
    <x v="1"/>
    <x v="1"/>
    <x v="0"/>
    <x v="0"/>
    <n v="10"/>
    <n v="20"/>
  </r>
  <r>
    <n v="3436"/>
    <s v="Tiago Rodrigues"/>
    <x v="1"/>
    <d v="2024-09-18T00:00:00"/>
    <x v="0"/>
    <x v="1"/>
    <x v="0"/>
    <x v="1"/>
    <x v="1"/>
    <x v="1"/>
    <x v="1"/>
    <n v="0"/>
    <n v="5"/>
  </r>
  <r>
    <n v="3437"/>
    <s v="Ursula Monteiro"/>
    <x v="0"/>
    <d v="2024-09-19T00:00:00"/>
    <x v="1"/>
    <x v="0"/>
    <x v="2"/>
    <x v="0"/>
    <x v="0"/>
    <x v="0"/>
    <x v="0"/>
    <n v="7"/>
    <n v="58"/>
  </r>
  <r>
    <n v="3438"/>
    <s v="Vanessa Pereira"/>
    <x v="2"/>
    <d v="2024-09-20T00:00:00"/>
    <x v="0"/>
    <x v="2"/>
    <x v="1"/>
    <x v="1"/>
    <x v="1"/>
    <x v="0"/>
    <x v="0"/>
    <n v="10"/>
    <n v="20"/>
  </r>
  <r>
    <n v="3439"/>
    <s v="Walter Silva"/>
    <x v="1"/>
    <d v="2024-09-21T00:00:00"/>
    <x v="1"/>
    <x v="1"/>
    <x v="2"/>
    <x v="1"/>
    <x v="1"/>
    <x v="1"/>
    <x v="1"/>
    <n v="1"/>
    <n v="4"/>
  </r>
  <r>
    <n v="3440"/>
    <s v="Xavier Almeida"/>
    <x v="0"/>
    <d v="2024-09-22T00:00:00"/>
    <x v="0"/>
    <x v="0"/>
    <x v="0"/>
    <x v="0"/>
    <x v="0"/>
    <x v="0"/>
    <x v="0"/>
    <n v="15"/>
    <n v="50"/>
  </r>
  <r>
    <n v="3441"/>
    <s v="Yasmine Correia"/>
    <x v="2"/>
    <d v="2024-09-23T00:00:00"/>
    <x v="1"/>
    <x v="2"/>
    <x v="0"/>
    <x v="1"/>
    <x v="1"/>
    <x v="0"/>
    <x v="0"/>
    <n v="5"/>
    <n v="25"/>
  </r>
  <r>
    <n v="3442"/>
    <s v="Zacarias Almeida"/>
    <x v="1"/>
    <d v="2024-09-24T00:00:00"/>
    <x v="0"/>
    <x v="1"/>
    <x v="1"/>
    <x v="1"/>
    <x v="1"/>
    <x v="1"/>
    <x v="1"/>
    <n v="0"/>
    <n v="5"/>
  </r>
  <r>
    <n v="3443"/>
    <s v="Amanda Costa"/>
    <x v="0"/>
    <d v="2024-09-25T00:00:00"/>
    <x v="1"/>
    <x v="0"/>
    <x v="2"/>
    <x v="0"/>
    <x v="0"/>
    <x v="0"/>
    <x v="0"/>
    <n v="20"/>
    <n v="45"/>
  </r>
  <r>
    <n v="3444"/>
    <s v="Bruno Ferreira"/>
    <x v="2"/>
    <d v="2024-09-26T00:00:00"/>
    <x v="0"/>
    <x v="2"/>
    <x v="2"/>
    <x v="1"/>
    <x v="1"/>
    <x v="0"/>
    <x v="0"/>
    <n v="12"/>
    <n v="18"/>
  </r>
  <r>
    <n v="3445"/>
    <s v="Carla Dias"/>
    <x v="1"/>
    <d v="2024-09-27T00:00:00"/>
    <x v="1"/>
    <x v="1"/>
    <x v="0"/>
    <x v="1"/>
    <x v="1"/>
    <x v="1"/>
    <x v="1"/>
    <n v="2"/>
    <n v="3"/>
  </r>
  <r>
    <n v="3446"/>
    <s v="Diogo Martins"/>
    <x v="0"/>
    <d v="2024-09-28T00:00:00"/>
    <x v="0"/>
    <x v="0"/>
    <x v="1"/>
    <x v="0"/>
    <x v="0"/>
    <x v="0"/>
    <x v="0"/>
    <n v="5"/>
    <n v="60"/>
  </r>
  <r>
    <n v="3447"/>
    <s v="Elisa Campos"/>
    <x v="2"/>
    <d v="2024-09-29T00:00:00"/>
    <x v="1"/>
    <x v="2"/>
    <x v="0"/>
    <x v="1"/>
    <x v="1"/>
    <x v="0"/>
    <x v="0"/>
    <n v="10"/>
    <n v="20"/>
  </r>
  <r>
    <n v="3448"/>
    <s v="Fabiana Lima"/>
    <x v="1"/>
    <d v="2024-09-30T00:00:00"/>
    <x v="0"/>
    <x v="1"/>
    <x v="2"/>
    <x v="1"/>
    <x v="1"/>
    <x v="1"/>
    <x v="1"/>
    <n v="0"/>
    <n v="5"/>
  </r>
  <r>
    <n v="3449"/>
    <s v="Gabriel Santos"/>
    <x v="0"/>
    <d v="2024-10-01T00:00:00"/>
    <x v="1"/>
    <x v="0"/>
    <x v="0"/>
    <x v="0"/>
    <x v="0"/>
    <x v="0"/>
    <x v="0"/>
    <n v="3"/>
    <n v="62"/>
  </r>
  <r>
    <n v="3450"/>
    <s v="Helena Ferreira"/>
    <x v="2"/>
    <d v="2024-10-02T00:00:00"/>
    <x v="0"/>
    <x v="2"/>
    <x v="1"/>
    <x v="1"/>
    <x v="1"/>
    <x v="0"/>
    <x v="0"/>
    <n v="15"/>
    <n v="15"/>
  </r>
  <r>
    <n v="3451"/>
    <s v="Ígor Nunes"/>
    <x v="1"/>
    <d v="2024-10-03T00:00:00"/>
    <x v="1"/>
    <x v="1"/>
    <x v="0"/>
    <x v="1"/>
    <x v="1"/>
    <x v="1"/>
    <x v="1"/>
    <n v="1"/>
    <n v="4"/>
  </r>
  <r>
    <n v="3452"/>
    <s v="Joana Silveira"/>
    <x v="0"/>
    <d v="2024-10-04T00:00:00"/>
    <x v="0"/>
    <x v="0"/>
    <x v="2"/>
    <x v="0"/>
    <x v="0"/>
    <x v="0"/>
    <x v="0"/>
    <n v="7"/>
    <n v="58"/>
  </r>
  <r>
    <n v="3453"/>
    <s v="Kléber Oliveira"/>
    <x v="2"/>
    <d v="2024-10-05T00:00:00"/>
    <x v="1"/>
    <x v="2"/>
    <x v="0"/>
    <x v="1"/>
    <x v="1"/>
    <x v="0"/>
    <x v="0"/>
    <n v="10"/>
    <n v="20"/>
  </r>
  <r>
    <n v="3454"/>
    <s v="Luciana Morais"/>
    <x v="1"/>
    <d v="2024-10-06T00:00:00"/>
    <x v="0"/>
    <x v="1"/>
    <x v="1"/>
    <x v="1"/>
    <x v="1"/>
    <x v="1"/>
    <x v="1"/>
    <n v="0"/>
    <n v="5"/>
  </r>
  <r>
    <n v="3455"/>
    <s v="Marcos Vinícius"/>
    <x v="0"/>
    <d v="2024-10-07T00:00:00"/>
    <x v="1"/>
    <x v="0"/>
    <x v="0"/>
    <x v="0"/>
    <x v="0"/>
    <x v="0"/>
    <x v="0"/>
    <n v="20"/>
    <n v="45"/>
  </r>
  <r>
    <n v="3456"/>
    <s v="Natália Barros"/>
    <x v="2"/>
    <d v="2024-10-08T00:00:00"/>
    <x v="0"/>
    <x v="2"/>
    <x v="2"/>
    <x v="1"/>
    <x v="1"/>
    <x v="0"/>
    <x v="0"/>
    <n v="15"/>
    <n v="15"/>
  </r>
  <r>
    <n v="3457"/>
    <s v="Oscar Sampaio"/>
    <x v="1"/>
    <d v="2024-10-09T00:00:00"/>
    <x v="1"/>
    <x v="1"/>
    <x v="0"/>
    <x v="1"/>
    <x v="1"/>
    <x v="1"/>
    <x v="1"/>
    <n v="1"/>
    <n v="4"/>
  </r>
  <r>
    <n v="3458"/>
    <s v="Patrícia Leite"/>
    <x v="0"/>
    <d v="2024-10-10T00:00:00"/>
    <x v="0"/>
    <x v="0"/>
    <x v="1"/>
    <x v="0"/>
    <x v="0"/>
    <x v="0"/>
    <x v="0"/>
    <n v="3"/>
    <n v="62"/>
  </r>
  <r>
    <n v="3459"/>
    <s v="Quênia Rocha"/>
    <x v="2"/>
    <d v="2024-10-11T00:00:00"/>
    <x v="1"/>
    <x v="2"/>
    <x v="0"/>
    <x v="1"/>
    <x v="1"/>
    <x v="0"/>
    <x v="0"/>
    <n v="10"/>
    <n v="20"/>
  </r>
  <r>
    <n v="3460"/>
    <s v="Rafael Torres"/>
    <x v="1"/>
    <d v="2024-10-12T00:00:00"/>
    <x v="0"/>
    <x v="1"/>
    <x v="2"/>
    <x v="1"/>
    <x v="1"/>
    <x v="1"/>
    <x v="1"/>
    <n v="0"/>
    <n v="5"/>
  </r>
  <r>
    <n v="3461"/>
    <s v="Sandra Gouveia"/>
    <x v="0"/>
    <d v="2024-10-13T00:00:00"/>
    <x v="1"/>
    <x v="0"/>
    <x v="0"/>
    <x v="0"/>
    <x v="0"/>
    <x v="0"/>
    <x v="0"/>
    <n v="15"/>
    <n v="50"/>
  </r>
  <r>
    <n v="3462"/>
    <s v="Tiago Lacerda"/>
    <x v="2"/>
    <d v="2024-10-14T00:00:00"/>
    <x v="0"/>
    <x v="2"/>
    <x v="1"/>
    <x v="1"/>
    <x v="1"/>
    <x v="0"/>
    <x v="0"/>
    <n v="15"/>
    <n v="15"/>
  </r>
  <r>
    <n v="3463"/>
    <s v="Ursula Fonseca"/>
    <x v="1"/>
    <d v="2024-10-15T00:00:00"/>
    <x v="1"/>
    <x v="1"/>
    <x v="0"/>
    <x v="1"/>
    <x v="1"/>
    <x v="1"/>
    <x v="1"/>
    <n v="1"/>
    <n v="4"/>
  </r>
  <r>
    <n v="3464"/>
    <s v="Vanessa Andrade"/>
    <x v="0"/>
    <d v="2024-10-16T00:00:00"/>
    <x v="0"/>
    <x v="0"/>
    <x v="2"/>
    <x v="0"/>
    <x v="0"/>
    <x v="0"/>
    <x v="0"/>
    <n v="7"/>
    <n v="58"/>
  </r>
  <r>
    <n v="3465"/>
    <s v="William Castro"/>
    <x v="2"/>
    <d v="2024-10-17T00:00:00"/>
    <x v="1"/>
    <x v="2"/>
    <x v="0"/>
    <x v="1"/>
    <x v="1"/>
    <x v="0"/>
    <x v="0"/>
    <n v="10"/>
    <n v="20"/>
  </r>
  <r>
    <n v="3466"/>
    <s v="Xavier Monteiro"/>
    <x v="1"/>
    <d v="2024-10-18T00:00:00"/>
    <x v="0"/>
    <x v="1"/>
    <x v="1"/>
    <x v="1"/>
    <x v="1"/>
    <x v="1"/>
    <x v="1"/>
    <n v="0"/>
    <n v="5"/>
  </r>
  <r>
    <n v="3467"/>
    <s v="Yasmin Figueira"/>
    <x v="0"/>
    <d v="2024-10-19T00:00:00"/>
    <x v="1"/>
    <x v="0"/>
    <x v="0"/>
    <x v="0"/>
    <x v="0"/>
    <x v="0"/>
    <x v="0"/>
    <n v="15"/>
    <n v="50"/>
  </r>
  <r>
    <n v="3468"/>
    <s v="Zacarias Mendonça"/>
    <x v="2"/>
    <d v="2024-10-20T00:00:00"/>
    <x v="0"/>
    <x v="2"/>
    <x v="2"/>
    <x v="1"/>
    <x v="1"/>
    <x v="0"/>
    <x v="0"/>
    <n v="12"/>
    <n v="18"/>
  </r>
  <r>
    <n v="3469"/>
    <s v="Amanda Menezes"/>
    <x v="1"/>
    <d v="2024-10-21T00:00:00"/>
    <x v="1"/>
    <x v="1"/>
    <x v="0"/>
    <x v="1"/>
    <x v="1"/>
    <x v="1"/>
    <x v="1"/>
    <n v="2"/>
    <n v="3"/>
  </r>
  <r>
    <n v="3470"/>
    <s v="Bruno Santos"/>
    <x v="0"/>
    <d v="2024-10-22T00:00:00"/>
    <x v="0"/>
    <x v="0"/>
    <x v="1"/>
    <x v="0"/>
    <x v="0"/>
    <x v="0"/>
    <x v="0"/>
    <n v="5"/>
    <n v="60"/>
  </r>
  <r>
    <n v="3471"/>
    <s v="Carla Ferreira"/>
    <x v="2"/>
    <d v="2024-10-23T00:00:00"/>
    <x v="1"/>
    <x v="2"/>
    <x v="0"/>
    <x v="1"/>
    <x v="1"/>
    <x v="0"/>
    <x v="0"/>
    <n v="10"/>
    <n v="20"/>
  </r>
  <r>
    <n v="3472"/>
    <s v="Diogo Alves"/>
    <x v="1"/>
    <d v="2024-10-24T00:00:00"/>
    <x v="0"/>
    <x v="1"/>
    <x v="2"/>
    <x v="1"/>
    <x v="1"/>
    <x v="1"/>
    <x v="1"/>
    <n v="0"/>
    <n v="5"/>
  </r>
  <r>
    <n v="3473"/>
    <s v="Elisa Neves"/>
    <x v="0"/>
    <d v="2024-10-25T00:00:00"/>
    <x v="1"/>
    <x v="0"/>
    <x v="0"/>
    <x v="0"/>
    <x v="0"/>
    <x v="0"/>
    <x v="0"/>
    <n v="3"/>
    <n v="62"/>
  </r>
  <r>
    <n v="3474"/>
    <s v="Fabiano Pires"/>
    <x v="2"/>
    <d v="2024-10-26T00:00:00"/>
    <x v="0"/>
    <x v="2"/>
    <x v="1"/>
    <x v="1"/>
    <x v="1"/>
    <x v="0"/>
    <x v="0"/>
    <n v="15"/>
    <n v="15"/>
  </r>
  <r>
    <n v="3475"/>
    <s v="Giovana Ribeiro"/>
    <x v="1"/>
    <d v="2024-10-27T00:00:00"/>
    <x v="1"/>
    <x v="1"/>
    <x v="0"/>
    <x v="1"/>
    <x v="1"/>
    <x v="1"/>
    <x v="1"/>
    <n v="1"/>
    <n v="4"/>
  </r>
  <r>
    <n v="3476"/>
    <s v="Hélio Costa"/>
    <x v="0"/>
    <d v="2024-10-28T00:00:00"/>
    <x v="0"/>
    <x v="0"/>
    <x v="2"/>
    <x v="0"/>
    <x v="0"/>
    <x v="0"/>
    <x v="0"/>
    <n v="7"/>
    <n v="58"/>
  </r>
  <r>
    <n v="3477"/>
    <s v="Íris Loureiro"/>
    <x v="2"/>
    <d v="2024-10-29T00:00:00"/>
    <x v="1"/>
    <x v="2"/>
    <x v="0"/>
    <x v="1"/>
    <x v="1"/>
    <x v="0"/>
    <x v="0"/>
    <n v="10"/>
    <n v="20"/>
  </r>
  <r>
    <n v="3478"/>
    <s v="João Pereira"/>
    <x v="1"/>
    <d v="2024-10-30T00:00:00"/>
    <x v="0"/>
    <x v="1"/>
    <x v="1"/>
    <x v="1"/>
    <x v="1"/>
    <x v="1"/>
    <x v="1"/>
    <n v="0"/>
    <n v="5"/>
  </r>
  <r>
    <n v="3479"/>
    <s v="Klara Silva"/>
    <x v="0"/>
    <d v="2024-10-31T00:00:00"/>
    <x v="1"/>
    <x v="0"/>
    <x v="0"/>
    <x v="0"/>
    <x v="0"/>
    <x v="0"/>
    <x v="0"/>
    <n v="20"/>
    <n v="45"/>
  </r>
  <r>
    <n v="3480"/>
    <s v="Luciana Barros"/>
    <x v="2"/>
    <d v="2024-11-01T00:00:00"/>
    <x v="0"/>
    <x v="2"/>
    <x v="2"/>
    <x v="1"/>
    <x v="1"/>
    <x v="0"/>
    <x v="0"/>
    <n v="15"/>
    <n v="15"/>
  </r>
  <r>
    <n v="3481"/>
    <s v="Marcos Gomes"/>
    <x v="1"/>
    <d v="2024-11-02T00:00:00"/>
    <x v="1"/>
    <x v="1"/>
    <x v="0"/>
    <x v="1"/>
    <x v="1"/>
    <x v="1"/>
    <x v="1"/>
    <n v="1"/>
    <n v="4"/>
  </r>
  <r>
    <n v="3482"/>
    <s v="Natália Soares"/>
    <x v="0"/>
    <d v="2024-11-03T00:00:00"/>
    <x v="0"/>
    <x v="0"/>
    <x v="1"/>
    <x v="0"/>
    <x v="0"/>
    <x v="0"/>
    <x v="0"/>
    <n v="3"/>
    <n v="62"/>
  </r>
  <r>
    <n v="3483"/>
    <s v="Oscar Machado"/>
    <x v="2"/>
    <d v="2024-11-04T00:00:00"/>
    <x v="1"/>
    <x v="2"/>
    <x v="0"/>
    <x v="1"/>
    <x v="1"/>
    <x v="0"/>
    <x v="0"/>
    <n v="10"/>
    <n v="20"/>
  </r>
  <r>
    <n v="3484"/>
    <s v="Patrícia Lima"/>
    <x v="1"/>
    <d v="2024-11-05T00:00:00"/>
    <x v="0"/>
    <x v="1"/>
    <x v="2"/>
    <x v="1"/>
    <x v="1"/>
    <x v="1"/>
    <x v="1"/>
    <n v="0"/>
    <n v="5"/>
  </r>
  <r>
    <n v="3485"/>
    <s v="Quirino Neto"/>
    <x v="0"/>
    <d v="2024-11-06T00:00:00"/>
    <x v="1"/>
    <x v="0"/>
    <x v="0"/>
    <x v="0"/>
    <x v="0"/>
    <x v="0"/>
    <x v="0"/>
    <n v="15"/>
    <n v="50"/>
  </r>
  <r>
    <n v="3486"/>
    <s v="Rafaela Souza"/>
    <x v="1"/>
    <d v="2024-11-07T00:00:00"/>
    <x v="0"/>
    <x v="1"/>
    <x v="0"/>
    <x v="1"/>
    <x v="1"/>
    <x v="1"/>
    <x v="1"/>
    <n v="0"/>
    <n v="5"/>
  </r>
  <r>
    <n v="3487"/>
    <s v="Sandro Almeida"/>
    <x v="0"/>
    <d v="2024-11-08T00:00:00"/>
    <x v="1"/>
    <x v="0"/>
    <x v="2"/>
    <x v="0"/>
    <x v="0"/>
    <x v="0"/>
    <x v="0"/>
    <n v="7"/>
    <n v="58"/>
  </r>
  <r>
    <n v="3488"/>
    <s v="Tânia Ribeiro"/>
    <x v="2"/>
    <d v="2024-11-09T00:00:00"/>
    <x v="0"/>
    <x v="2"/>
    <x v="1"/>
    <x v="1"/>
    <x v="1"/>
    <x v="0"/>
    <x v="0"/>
    <n v="10"/>
    <n v="20"/>
  </r>
  <r>
    <n v="3489"/>
    <s v="Ugo Dias"/>
    <x v="1"/>
    <d v="2024-11-10T00:00:00"/>
    <x v="1"/>
    <x v="1"/>
    <x v="2"/>
    <x v="1"/>
    <x v="1"/>
    <x v="1"/>
    <x v="1"/>
    <n v="1"/>
    <n v="4"/>
  </r>
  <r>
    <n v="3490"/>
    <s v="Valéria Lima"/>
    <x v="0"/>
    <d v="2024-11-11T00:00:00"/>
    <x v="0"/>
    <x v="0"/>
    <x v="0"/>
    <x v="0"/>
    <x v="0"/>
    <x v="0"/>
    <x v="0"/>
    <n v="15"/>
    <n v="50"/>
  </r>
  <r>
    <n v="3491"/>
    <s v="William Fernandes"/>
    <x v="2"/>
    <d v="2024-11-12T00:00:00"/>
    <x v="1"/>
    <x v="2"/>
    <x v="0"/>
    <x v="1"/>
    <x v="1"/>
    <x v="0"/>
    <x v="0"/>
    <n v="5"/>
    <n v="25"/>
  </r>
  <r>
    <n v="3492"/>
    <s v="Xuxa Mendes"/>
    <x v="1"/>
    <d v="2024-11-13T00:00:00"/>
    <x v="0"/>
    <x v="1"/>
    <x v="1"/>
    <x v="1"/>
    <x v="1"/>
    <x v="1"/>
    <x v="1"/>
    <n v="0"/>
    <n v="5"/>
  </r>
  <r>
    <n v="3493"/>
    <s v="Ygor Farias"/>
    <x v="0"/>
    <d v="2024-11-14T00:00:00"/>
    <x v="1"/>
    <x v="0"/>
    <x v="2"/>
    <x v="0"/>
    <x v="0"/>
    <x v="0"/>
    <x v="0"/>
    <n v="20"/>
    <n v="45"/>
  </r>
  <r>
    <n v="3494"/>
    <s v="Zilda Barros"/>
    <x v="2"/>
    <d v="2024-11-15T00:00:00"/>
    <x v="0"/>
    <x v="2"/>
    <x v="2"/>
    <x v="1"/>
    <x v="1"/>
    <x v="0"/>
    <x v="0"/>
    <n v="12"/>
    <n v="18"/>
  </r>
  <r>
    <n v="3495"/>
    <s v="Amanda Santos"/>
    <x v="1"/>
    <d v="2024-11-16T00:00:00"/>
    <x v="1"/>
    <x v="1"/>
    <x v="0"/>
    <x v="1"/>
    <x v="1"/>
    <x v="1"/>
    <x v="1"/>
    <n v="2"/>
    <n v="3"/>
  </r>
  <r>
    <n v="3496"/>
    <s v="Bruno Costa"/>
    <x v="0"/>
    <d v="2024-11-17T00:00:00"/>
    <x v="0"/>
    <x v="0"/>
    <x v="1"/>
    <x v="0"/>
    <x v="0"/>
    <x v="0"/>
    <x v="0"/>
    <n v="5"/>
    <n v="60"/>
  </r>
  <r>
    <n v="3497"/>
    <s v="Carla Rodrigues"/>
    <x v="2"/>
    <d v="2024-11-18T00:00:00"/>
    <x v="1"/>
    <x v="2"/>
    <x v="0"/>
    <x v="1"/>
    <x v="1"/>
    <x v="0"/>
    <x v="0"/>
    <n v="10"/>
    <n v="20"/>
  </r>
  <r>
    <n v="3498"/>
    <s v="Diogo Pereira"/>
    <x v="1"/>
    <d v="2024-11-19T00:00:00"/>
    <x v="0"/>
    <x v="1"/>
    <x v="2"/>
    <x v="1"/>
    <x v="1"/>
    <x v="1"/>
    <x v="1"/>
    <n v="0"/>
    <n v="5"/>
  </r>
  <r>
    <n v="3499"/>
    <s v="Elisa Correia"/>
    <x v="0"/>
    <d v="2024-11-20T00:00:00"/>
    <x v="1"/>
    <x v="0"/>
    <x v="0"/>
    <x v="0"/>
    <x v="0"/>
    <x v="0"/>
    <x v="0"/>
    <n v="3"/>
    <n v="62"/>
  </r>
  <r>
    <n v="3500"/>
    <s v="Fábio Lourenço"/>
    <x v="2"/>
    <d v="2024-11-21T00:00:00"/>
    <x v="0"/>
    <x v="2"/>
    <x v="1"/>
    <x v="1"/>
    <x v="1"/>
    <x v="0"/>
    <x v="0"/>
    <n v="15"/>
    <n v="15"/>
  </r>
  <r>
    <n v="3501"/>
    <s v="Gabriela Neves"/>
    <x v="1"/>
    <d v="2024-11-22T00:00:00"/>
    <x v="1"/>
    <x v="1"/>
    <x v="0"/>
    <x v="1"/>
    <x v="1"/>
    <x v="1"/>
    <x v="1"/>
    <n v="1"/>
    <n v="4"/>
  </r>
  <r>
    <n v="3502"/>
    <s v="Henrique Gonçalves"/>
    <x v="0"/>
    <d v="2024-11-23T00:00:00"/>
    <x v="0"/>
    <x v="0"/>
    <x v="2"/>
    <x v="0"/>
    <x v="0"/>
    <x v="0"/>
    <x v="0"/>
    <n v="7"/>
    <n v="58"/>
  </r>
  <r>
    <n v="3503"/>
    <s v="Íris Santos"/>
    <x v="2"/>
    <d v="2024-11-24T00:00:00"/>
    <x v="1"/>
    <x v="2"/>
    <x v="0"/>
    <x v="1"/>
    <x v="1"/>
    <x v="0"/>
    <x v="0"/>
    <n v="10"/>
    <n v="20"/>
  </r>
  <r>
    <n v="3504"/>
    <s v="João Marcelo Alves"/>
    <x v="1"/>
    <d v="2024-11-25T00:00:00"/>
    <x v="0"/>
    <x v="1"/>
    <x v="1"/>
    <x v="1"/>
    <x v="1"/>
    <x v="1"/>
    <x v="1"/>
    <n v="0"/>
    <n v="5"/>
  </r>
  <r>
    <n v="3505"/>
    <s v="Klara Fonseca"/>
    <x v="0"/>
    <d v="2024-11-26T00:00:00"/>
    <x v="1"/>
    <x v="0"/>
    <x v="0"/>
    <x v="0"/>
    <x v="0"/>
    <x v="0"/>
    <x v="0"/>
    <n v="20"/>
    <n v="45"/>
  </r>
  <r>
    <n v="3506"/>
    <s v="Lucas Mendonça"/>
    <x v="2"/>
    <d v="2024-11-27T00:00:00"/>
    <x v="0"/>
    <x v="2"/>
    <x v="2"/>
    <x v="1"/>
    <x v="1"/>
    <x v="0"/>
    <x v="0"/>
    <n v="15"/>
    <n v="15"/>
  </r>
  <r>
    <n v="3507"/>
    <s v="Marcela Torres"/>
    <x v="1"/>
    <d v="2024-11-28T00:00:00"/>
    <x v="1"/>
    <x v="1"/>
    <x v="0"/>
    <x v="1"/>
    <x v="1"/>
    <x v="1"/>
    <x v="1"/>
    <n v="1"/>
    <n v="4"/>
  </r>
  <r>
    <n v="3508"/>
    <s v="Natália Castro"/>
    <x v="0"/>
    <d v="2024-11-29T00:00:00"/>
    <x v="0"/>
    <x v="0"/>
    <x v="1"/>
    <x v="0"/>
    <x v="0"/>
    <x v="0"/>
    <x v="0"/>
    <n v="3"/>
    <n v="62"/>
  </r>
  <r>
    <n v="3509"/>
    <s v="Oscar Martins"/>
    <x v="2"/>
    <d v="2024-11-30T00:00:00"/>
    <x v="1"/>
    <x v="2"/>
    <x v="0"/>
    <x v="1"/>
    <x v="1"/>
    <x v="0"/>
    <x v="0"/>
    <n v="10"/>
    <n v="20"/>
  </r>
  <r>
    <n v="3510"/>
    <s v="Patrícia Oliveira"/>
    <x v="1"/>
    <d v="2024-12-01T00:00:00"/>
    <x v="0"/>
    <x v="1"/>
    <x v="2"/>
    <x v="1"/>
    <x v="1"/>
    <x v="1"/>
    <x v="1"/>
    <n v="0"/>
    <n v="5"/>
  </r>
  <r>
    <n v="3511"/>
    <s v="Quentin Nogueira"/>
    <x v="0"/>
    <d v="2024-12-02T00:00:00"/>
    <x v="1"/>
    <x v="0"/>
    <x v="0"/>
    <x v="0"/>
    <x v="0"/>
    <x v="0"/>
    <x v="0"/>
    <n v="15"/>
    <n v="50"/>
  </r>
  <r>
    <n v="3512"/>
    <s v="Raquel Silva"/>
    <x v="2"/>
    <d v="2024-12-03T00:00:00"/>
    <x v="0"/>
    <x v="2"/>
    <x v="1"/>
    <x v="1"/>
    <x v="1"/>
    <x v="0"/>
    <x v="0"/>
    <n v="15"/>
    <n v="15"/>
  </r>
  <r>
    <n v="3513"/>
    <s v="Sandro Gomes"/>
    <x v="1"/>
    <d v="2024-12-04T00:00:00"/>
    <x v="1"/>
    <x v="1"/>
    <x v="0"/>
    <x v="1"/>
    <x v="1"/>
    <x v="1"/>
    <x v="1"/>
    <n v="1"/>
    <n v="4"/>
  </r>
  <r>
    <n v="3514"/>
    <s v="Tânia Machado"/>
    <x v="0"/>
    <d v="2024-12-05T00:00:00"/>
    <x v="0"/>
    <x v="0"/>
    <x v="2"/>
    <x v="0"/>
    <x v="0"/>
    <x v="0"/>
    <x v="0"/>
    <n v="7"/>
    <n v="58"/>
  </r>
  <r>
    <n v="3515"/>
    <s v="Ursula Silva"/>
    <x v="2"/>
    <d v="2024-12-06T00:00:00"/>
    <x v="1"/>
    <x v="2"/>
    <x v="0"/>
    <x v="1"/>
    <x v="1"/>
    <x v="0"/>
    <x v="0"/>
    <n v="10"/>
    <n v="20"/>
  </r>
  <r>
    <n v="3516"/>
    <s v="Vanessa Moraes"/>
    <x v="1"/>
    <d v="2024-12-07T00:00:00"/>
    <x v="0"/>
    <x v="1"/>
    <x v="1"/>
    <x v="1"/>
    <x v="1"/>
    <x v="1"/>
    <x v="1"/>
    <n v="0"/>
    <n v="5"/>
  </r>
  <r>
    <n v="3517"/>
    <s v="William Carvalho"/>
    <x v="0"/>
    <d v="2024-12-08T00:00:00"/>
    <x v="1"/>
    <x v="0"/>
    <x v="0"/>
    <x v="0"/>
    <x v="0"/>
    <x v="0"/>
    <x v="0"/>
    <n v="20"/>
    <n v="45"/>
  </r>
  <r>
    <n v="3518"/>
    <s v="Xavier Reis"/>
    <x v="2"/>
    <d v="2024-12-09T00:00:00"/>
    <x v="0"/>
    <x v="2"/>
    <x v="2"/>
    <x v="1"/>
    <x v="1"/>
    <x v="0"/>
    <x v="0"/>
    <n v="12"/>
    <n v="18"/>
  </r>
  <r>
    <n v="3519"/>
    <s v="Yasmin Rocha"/>
    <x v="1"/>
    <d v="2024-12-10T00:00:00"/>
    <x v="1"/>
    <x v="1"/>
    <x v="0"/>
    <x v="1"/>
    <x v="1"/>
    <x v="1"/>
    <x v="1"/>
    <n v="2"/>
    <n v="3"/>
  </r>
  <r>
    <n v="3520"/>
    <s v="Zacarias Duarte"/>
    <x v="0"/>
    <d v="2024-12-11T00:00:00"/>
    <x v="0"/>
    <x v="0"/>
    <x v="1"/>
    <x v="0"/>
    <x v="0"/>
    <x v="0"/>
    <x v="0"/>
    <n v="5"/>
    <n v="60"/>
  </r>
  <r>
    <n v="3521"/>
    <s v="Amanda Freitas"/>
    <x v="2"/>
    <d v="2024-12-12T00:00:00"/>
    <x v="1"/>
    <x v="2"/>
    <x v="0"/>
    <x v="1"/>
    <x v="1"/>
    <x v="0"/>
    <x v="0"/>
    <n v="10"/>
    <n v="20"/>
  </r>
  <r>
    <n v="3522"/>
    <s v="Bruno Almeida"/>
    <x v="1"/>
    <d v="2024-12-13T00:00:00"/>
    <x v="0"/>
    <x v="1"/>
    <x v="2"/>
    <x v="1"/>
    <x v="1"/>
    <x v="1"/>
    <x v="1"/>
    <n v="0"/>
    <n v="5"/>
  </r>
  <r>
    <n v="3523"/>
    <s v="Carla Siqueira"/>
    <x v="0"/>
    <d v="2024-12-14T00:00:00"/>
    <x v="1"/>
    <x v="0"/>
    <x v="0"/>
    <x v="0"/>
    <x v="0"/>
    <x v="0"/>
    <x v="0"/>
    <n v="3"/>
    <n v="62"/>
  </r>
  <r>
    <n v="3524"/>
    <s v="Diogo Ramos"/>
    <x v="2"/>
    <d v="2024-12-15T00:00:00"/>
    <x v="0"/>
    <x v="2"/>
    <x v="1"/>
    <x v="1"/>
    <x v="1"/>
    <x v="0"/>
    <x v="0"/>
    <n v="15"/>
    <n v="15"/>
  </r>
  <r>
    <n v="3525"/>
    <s v="Elisa Magalhães"/>
    <x v="1"/>
    <d v="2024-12-16T00:00:00"/>
    <x v="1"/>
    <x v="1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FB8B4-A083-4C88-9D7F-65D3B96CA186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A33C6-529F-41FA-91FC-8F8769FA6F7B}" name="Valor Minecraft Season 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Plan">
  <location ref="B31:C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Total Minecraft Season Pass" fld="10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57551-9F88-4F98-8E72-FA24DE6F441F}" name="Valor EA Play Season 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 rowHeaderCaption="Plan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Total EA Play Season Pass" fld="8" baseField="2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202C3CA-6077-4A2D-A43C-50AD3AF41587}" sourceName="Subscription Type">
  <pivotTables>
    <pivotTable tabId="3" name="Valor EA Play Season Pass"/>
    <pivotTable tabId="3" name="Valor Minecraft Season Pass"/>
    <pivotTable tabId="3" name="Tabela dinâmica1"/>
  </pivotTables>
  <data>
    <tabular pivotCacheId="85652173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197E072-CF18-477A-A6FA-7F95FFCB9095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D35"/>
  <sheetViews>
    <sheetView showGridLines="0" topLeftCell="A3" workbookViewId="0">
      <selection activeCell="B6" sqref="B6:I11"/>
    </sheetView>
  </sheetViews>
  <sheetFormatPr defaultRowHeight="15" x14ac:dyDescent="0.25"/>
  <cols>
    <col min="2" max="2" width="16.7109375" bestFit="1" customWidth="1"/>
    <col min="3" max="3" width="26.5703125" bestFit="1" customWidth="1"/>
    <col min="4" max="4" width="27.7109375" bestFit="1" customWidth="1"/>
    <col min="5" max="5" width="35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318</v>
      </c>
    </row>
    <row r="4" spans="2:3" x14ac:dyDescent="0.25">
      <c r="B4" t="s">
        <v>319</v>
      </c>
    </row>
    <row r="6" spans="2:3" x14ac:dyDescent="0.25">
      <c r="B6" s="12" t="s">
        <v>16</v>
      </c>
      <c r="C6" t="s">
        <v>24</v>
      </c>
    </row>
    <row r="8" spans="2:3" x14ac:dyDescent="0.25">
      <c r="B8" s="12" t="s">
        <v>322</v>
      </c>
      <c r="C8" t="s">
        <v>314</v>
      </c>
    </row>
    <row r="9" spans="2:3" x14ac:dyDescent="0.25">
      <c r="B9" s="13" t="s">
        <v>23</v>
      </c>
      <c r="C9" s="14">
        <v>217</v>
      </c>
    </row>
    <row r="10" spans="2:3" x14ac:dyDescent="0.25">
      <c r="B10" s="13" t="s">
        <v>19</v>
      </c>
      <c r="C10" s="14">
        <v>1537</v>
      </c>
    </row>
    <row r="11" spans="2:3" x14ac:dyDescent="0.25">
      <c r="B11" s="13" t="s">
        <v>313</v>
      </c>
      <c r="C11" s="14">
        <v>1754</v>
      </c>
    </row>
    <row r="12" spans="2:3" x14ac:dyDescent="0.25">
      <c r="B12" s="13"/>
      <c r="C12" s="14"/>
    </row>
    <row r="14" spans="2:3" x14ac:dyDescent="0.25">
      <c r="B14" s="13" t="s">
        <v>320</v>
      </c>
    </row>
    <row r="17" spans="2:4" x14ac:dyDescent="0.25">
      <c r="B17" s="12" t="s">
        <v>16</v>
      </c>
      <c r="C17" t="s">
        <v>24</v>
      </c>
    </row>
    <row r="19" spans="2:4" x14ac:dyDescent="0.25">
      <c r="B19" s="12" t="s">
        <v>13</v>
      </c>
      <c r="C19" t="s">
        <v>316</v>
      </c>
    </row>
    <row r="20" spans="2:4" x14ac:dyDescent="0.25">
      <c r="B20" s="13" t="s">
        <v>22</v>
      </c>
      <c r="C20" s="14">
        <v>0</v>
      </c>
    </row>
    <row r="21" spans="2:4" x14ac:dyDescent="0.25">
      <c r="B21" s="13" t="s">
        <v>26</v>
      </c>
      <c r="C21" s="14">
        <v>0</v>
      </c>
    </row>
    <row r="22" spans="2:4" x14ac:dyDescent="0.25">
      <c r="B22" s="13" t="s">
        <v>18</v>
      </c>
      <c r="C22" s="14">
        <v>600</v>
      </c>
    </row>
    <row r="23" spans="2:4" x14ac:dyDescent="0.25">
      <c r="B23" s="13" t="s">
        <v>313</v>
      </c>
      <c r="C23" s="14">
        <v>600</v>
      </c>
      <c r="D23" s="14">
        <f>C23</f>
        <v>600</v>
      </c>
    </row>
    <row r="26" spans="2:4" x14ac:dyDescent="0.25">
      <c r="B26" s="13" t="s">
        <v>321</v>
      </c>
    </row>
    <row r="29" spans="2:4" x14ac:dyDescent="0.25">
      <c r="B29" s="12" t="s">
        <v>16</v>
      </c>
      <c r="C29" t="s">
        <v>24</v>
      </c>
    </row>
    <row r="31" spans="2:4" x14ac:dyDescent="0.25">
      <c r="B31" s="12" t="s">
        <v>13</v>
      </c>
      <c r="C31" t="s">
        <v>315</v>
      </c>
    </row>
    <row r="32" spans="2:4" x14ac:dyDescent="0.25">
      <c r="B32" s="13" t="s">
        <v>22</v>
      </c>
      <c r="C32" s="14">
        <v>0</v>
      </c>
    </row>
    <row r="33" spans="2:4" x14ac:dyDescent="0.25">
      <c r="B33" s="13" t="s">
        <v>26</v>
      </c>
      <c r="C33" s="14">
        <v>540</v>
      </c>
    </row>
    <row r="34" spans="2:4" x14ac:dyDescent="0.25">
      <c r="B34" s="13" t="s">
        <v>18</v>
      </c>
      <c r="C34" s="14">
        <v>400</v>
      </c>
    </row>
    <row r="35" spans="2:4" x14ac:dyDescent="0.25">
      <c r="B35" s="13" t="s">
        <v>313</v>
      </c>
      <c r="C35" s="14">
        <v>940</v>
      </c>
      <c r="D35" s="14">
        <f>C35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38"/>
  <sheetViews>
    <sheetView showGridLines="0" showRowColHeaders="0" tabSelected="1" zoomScale="77" zoomScaleNormal="77" workbookViewId="0">
      <selection activeCell="A12" sqref="A12"/>
    </sheetView>
  </sheetViews>
  <sheetFormatPr defaultRowHeight="15" x14ac:dyDescent="0.25"/>
  <cols>
    <col min="1" max="1" width="30.7109375" customWidth="1"/>
    <col min="11" max="11" width="6.5703125" customWidth="1"/>
    <col min="13" max="13" width="9.140625" customWidth="1"/>
    <col min="22" max="22" width="9.140625" customWidth="1"/>
  </cols>
  <sheetData>
    <row r="1" spans="1:23" ht="54.75" customHeight="1" thickBot="1" x14ac:dyDescent="0.7">
      <c r="A1" s="4"/>
      <c r="B1" s="15"/>
      <c r="C1" s="15" t="s">
        <v>317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15.75" thickTop="1" x14ac:dyDescent="0.25">
      <c r="A2" s="4"/>
    </row>
    <row r="3" spans="1:23" x14ac:dyDescent="0.25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5">
      <c r="A4" s="4"/>
      <c r="B4" s="7"/>
      <c r="C4" s="17" t="s">
        <v>323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25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5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5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5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5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5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5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5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5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5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5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5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5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5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5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5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5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Ailton Sergio Alves Riciopo</cp:lastModifiedBy>
  <dcterms:created xsi:type="dcterms:W3CDTF">2024-12-19T13:13:10Z</dcterms:created>
  <dcterms:modified xsi:type="dcterms:W3CDTF">2025-12-31T00:11:38Z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